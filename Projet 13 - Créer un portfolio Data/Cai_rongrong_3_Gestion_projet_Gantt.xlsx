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trlProps/ctrlProp1.xml" ContentType="application/vnd.ms-excel.controlpropertie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codeName="ThisWorkbook"/>
  <xr:revisionPtr revIDLastSave="8" documentId="8_{EDD96BAE-2924-481D-A3B9-94A936EBE4D5}" xr6:coauthVersionLast="47" xr6:coauthVersionMax="47" xr10:uidLastSave="{E2B11B7A-4D27-4CF0-9B90-563F51BE4919}"/>
  <bookViews>
    <workbookView xWindow="12710" yWindow="0" windowWidth="12980" windowHeight="15370" tabRatio="415" xr2:uid="{00000000-000D-0000-FFFF-FFFF00000000}"/>
  </bookViews>
  <sheets>
    <sheet name="Clair" sheetId="17" r:id="rId1"/>
  </sheets>
  <definedNames>
    <definedName name="Aujourd’hui" localSheetId="0">TODAY()</definedName>
    <definedName name="Début_Projet" localSheetId="0">Clair!$C$6</definedName>
    <definedName name="_xlnm.Print_Titles" localSheetId="0">Clair!$6:$9</definedName>
    <definedName name="Incrément_de_défilement" localSheetId="0">Clair!$C$7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6" i="17" l="1" a="1"/>
  <c r="C6" i="17" s="1"/>
  <c r="G16" i="17"/>
  <c r="G17" i="17"/>
  <c r="G18" i="17"/>
  <c r="G19" i="17"/>
  <c r="G12" i="17"/>
  <c r="G13" i="17"/>
  <c r="G14" i="17"/>
  <c r="G15" i="17"/>
  <c r="G11" i="17"/>
  <c r="I7" i="17" l="1"/>
  <c r="I9" i="17" l="1"/>
  <c r="J7" i="17" l="1"/>
  <c r="J9" i="17" l="1"/>
  <c r="I13" i="17"/>
  <c r="I11" i="17"/>
  <c r="I20" i="17"/>
  <c r="I12" i="17"/>
  <c r="I15" i="17"/>
  <c r="I14" i="17"/>
  <c r="I6" i="17"/>
  <c r="J15" i="17" l="1"/>
  <c r="J14" i="17"/>
  <c r="J20" i="17"/>
  <c r="K7" i="17"/>
  <c r="K9" i="17" l="1"/>
  <c r="J12" i="17"/>
  <c r="J11" i="17"/>
  <c r="J13" i="17"/>
  <c r="K13" i="17" l="1"/>
  <c r="K12" i="17"/>
  <c r="K11" i="17"/>
  <c r="K14" i="17"/>
  <c r="K15" i="17"/>
  <c r="L7" i="17"/>
  <c r="L9" i="17" l="1"/>
  <c r="K20" i="17"/>
  <c r="L15" i="17" l="1"/>
  <c r="L20" i="17"/>
  <c r="L13" i="17"/>
  <c r="M7" i="17"/>
  <c r="M9" i="17" l="1"/>
  <c r="L12" i="17"/>
  <c r="L14" i="17"/>
  <c r="L11" i="17"/>
  <c r="M12" i="17" l="1"/>
  <c r="M14" i="17"/>
  <c r="M15" i="17"/>
  <c r="M20" i="17"/>
  <c r="N7" i="17"/>
  <c r="N9" i="17" l="1"/>
  <c r="M13" i="17"/>
  <c r="M11" i="17"/>
  <c r="N11" i="17" l="1"/>
  <c r="N15" i="17"/>
  <c r="O7" i="17"/>
  <c r="O9" i="17" l="1"/>
  <c r="N12" i="17"/>
  <c r="N14" i="17"/>
  <c r="N20" i="17"/>
  <c r="N13" i="17"/>
  <c r="O12" i="17" l="1"/>
  <c r="O20" i="17"/>
  <c r="O11" i="17"/>
  <c r="O15" i="17"/>
  <c r="O14" i="17"/>
  <c r="P7" i="17"/>
  <c r="P9" i="17" l="1"/>
  <c r="O13" i="17"/>
  <c r="P15" i="17" l="1"/>
  <c r="P12" i="17"/>
  <c r="P14" i="17"/>
  <c r="P20" i="17"/>
  <c r="P6" i="17"/>
  <c r="P13" i="17"/>
  <c r="P11" i="17"/>
  <c r="Q7" i="17"/>
  <c r="Q9" i="17" l="1"/>
  <c r="Q13" i="17" l="1"/>
  <c r="Q14" i="17"/>
  <c r="Q11" i="17"/>
  <c r="Q12" i="17"/>
  <c r="R7" i="17"/>
  <c r="R9" i="17" l="1"/>
  <c r="Q20" i="17"/>
  <c r="Q15" i="17"/>
  <c r="S7" i="17" l="1"/>
  <c r="S9" i="17" l="1"/>
  <c r="R13" i="17"/>
  <c r="R11" i="17"/>
  <c r="R12" i="17"/>
  <c r="R14" i="17"/>
  <c r="R20" i="17"/>
  <c r="R15" i="17"/>
  <c r="S20" i="17" l="1"/>
  <c r="S15" i="17"/>
  <c r="T7" i="17"/>
  <c r="T9" i="17" l="1"/>
  <c r="S14" i="17"/>
  <c r="S12" i="17"/>
  <c r="S13" i="17"/>
  <c r="S11" i="17"/>
  <c r="T15" i="17" l="1"/>
  <c r="T13" i="17"/>
  <c r="U7" i="17"/>
  <c r="U9" i="17" l="1"/>
  <c r="T14" i="17"/>
  <c r="T12" i="17"/>
  <c r="T11" i="17"/>
  <c r="T20" i="17"/>
  <c r="U11" i="17" l="1"/>
  <c r="U15" i="17" l="1"/>
  <c r="V7" i="17"/>
  <c r="V9" i="17" l="1"/>
  <c r="U20" i="17"/>
  <c r="U14" i="17"/>
  <c r="U12" i="17"/>
  <c r="U13" i="17"/>
  <c r="V20" i="17" l="1"/>
  <c r="V11" i="17" l="1"/>
  <c r="V14" i="17"/>
  <c r="W7" i="17"/>
  <c r="W9" i="17" l="1"/>
  <c r="V15" i="17"/>
  <c r="V13" i="17"/>
  <c r="V12" i="17"/>
  <c r="W20" i="17" l="1"/>
  <c r="W13" i="17"/>
  <c r="X7" i="17"/>
  <c r="X9" i="17" s="1"/>
  <c r="W15" i="17"/>
  <c r="W6" i="17"/>
  <c r="W12" i="17" l="1"/>
  <c r="W14" i="17"/>
  <c r="W11" i="17"/>
  <c r="X20" i="17" l="1"/>
  <c r="X12" i="17"/>
  <c r="Y7" i="17"/>
  <c r="Y9" i="17" s="1"/>
  <c r="X15" i="17"/>
  <c r="X11" i="17"/>
  <c r="X14" i="17"/>
  <c r="X13" i="17"/>
  <c r="Y15" i="17" l="1"/>
  <c r="Y11" i="17"/>
  <c r="Y20" i="17"/>
  <c r="Y14" i="17"/>
  <c r="Y13" i="17"/>
  <c r="Z7" i="17"/>
  <c r="Z9" i="17" s="1"/>
  <c r="Y12" i="17"/>
  <c r="Z20" i="17" l="1"/>
  <c r="Z14" i="17"/>
  <c r="Z13" i="17"/>
  <c r="Z12" i="17"/>
  <c r="AA7" i="17"/>
  <c r="AA9" i="17" s="1"/>
  <c r="Z11" i="17"/>
  <c r="Z15" i="17"/>
  <c r="AA20" i="17" l="1"/>
  <c r="AA13" i="17"/>
  <c r="AA12" i="17"/>
  <c r="AB7" i="17"/>
  <c r="AB9" i="17" s="1"/>
  <c r="AA15" i="17"/>
  <c r="AA11" i="17"/>
  <c r="AA14" i="17"/>
  <c r="AB20" i="17" l="1"/>
  <c r="AB12" i="17"/>
  <c r="AC7" i="17"/>
  <c r="AC9" i="17" s="1"/>
  <c r="AB15" i="17"/>
  <c r="AB11" i="17"/>
  <c r="AB14" i="17"/>
  <c r="AB13" i="17"/>
  <c r="AC15" i="17" l="1"/>
  <c r="AC11" i="17"/>
  <c r="AC14" i="17"/>
  <c r="AC13" i="17"/>
  <c r="AC12" i="17"/>
  <c r="AC20" i="17"/>
  <c r="AD7" i="17"/>
  <c r="AD9" i="17" s="1"/>
  <c r="AD14" i="17" l="1"/>
  <c r="AD13" i="17"/>
  <c r="AD6" i="17"/>
  <c r="AD20" i="17"/>
  <c r="AD12" i="17"/>
  <c r="AE7" i="17"/>
  <c r="AE9" i="17" s="1"/>
  <c r="AD15" i="17"/>
  <c r="AD11" i="17"/>
  <c r="AE20" i="17" l="1"/>
  <c r="AE13" i="17"/>
  <c r="AE12" i="17"/>
  <c r="AF7" i="17"/>
  <c r="AF9" i="17" s="1"/>
  <c r="AE15" i="17"/>
  <c r="AE11" i="17"/>
  <c r="AE14" i="17"/>
  <c r="AF20" i="17" l="1"/>
  <c r="AF15" i="17"/>
  <c r="AF12" i="17"/>
  <c r="AG7" i="17"/>
  <c r="AG9" i="17" s="1"/>
  <c r="AF11" i="17"/>
  <c r="AF14" i="17"/>
  <c r="AF13" i="17"/>
  <c r="AG15" i="17" l="1"/>
  <c r="AG11" i="17"/>
  <c r="AG20" i="17"/>
  <c r="AG14" i="17"/>
  <c r="AG13" i="17"/>
  <c r="AH7" i="17"/>
  <c r="AH9" i="17" s="1"/>
  <c r="AG12" i="17"/>
  <c r="AH20" i="17" l="1"/>
  <c r="AH14" i="17"/>
  <c r="AH15" i="17"/>
  <c r="AH13" i="17"/>
  <c r="AH12" i="17"/>
  <c r="AI7" i="17"/>
  <c r="AI9" i="17" s="1"/>
  <c r="AH11" i="17"/>
  <c r="AI20" i="17" l="1"/>
  <c r="AI15" i="17"/>
  <c r="AI13" i="17"/>
  <c r="AI12" i="17"/>
  <c r="AJ7" i="17"/>
  <c r="AJ9" i="17" s="1"/>
  <c r="AI11" i="17"/>
  <c r="AI14" i="17"/>
  <c r="AJ20" i="17" l="1"/>
  <c r="AJ15" i="17"/>
  <c r="AJ12" i="17"/>
  <c r="AK7" i="17"/>
  <c r="AK9" i="17" s="1"/>
  <c r="AJ11" i="17"/>
  <c r="AJ14" i="17"/>
  <c r="AJ13" i="17"/>
  <c r="AK15" i="17" l="1"/>
  <c r="AK11" i="17"/>
  <c r="AK6" i="17"/>
  <c r="AK14" i="17"/>
  <c r="AK13" i="17"/>
  <c r="AK20" i="17"/>
  <c r="AL7" i="17"/>
  <c r="AL9" i="17" s="1"/>
  <c r="AK12" i="17"/>
  <c r="AL14" i="17" l="1"/>
  <c r="AL13" i="17"/>
  <c r="AL20" i="17"/>
  <c r="AL12" i="17"/>
  <c r="AM7" i="17"/>
  <c r="AM9" i="17" s="1"/>
  <c r="AL15" i="17"/>
  <c r="AL11" i="17"/>
  <c r="AM20" i="17" l="1"/>
  <c r="AM13" i="17"/>
  <c r="AM12" i="17"/>
  <c r="AN7" i="17"/>
  <c r="AN9" i="17" s="1"/>
  <c r="AM15" i="17"/>
  <c r="AM11" i="17"/>
  <c r="AM14" i="17"/>
  <c r="AN20" i="17" l="1"/>
  <c r="AN15" i="17"/>
  <c r="AN12" i="17"/>
  <c r="AO7" i="17"/>
  <c r="AO9" i="17" s="1"/>
  <c r="AN11" i="17"/>
  <c r="AN14" i="17"/>
  <c r="AN13" i="17"/>
  <c r="AO15" i="17" l="1"/>
  <c r="AO11" i="17"/>
  <c r="AO20" i="17"/>
  <c r="AO14" i="17"/>
  <c r="AO13" i="17"/>
  <c r="AP7" i="17"/>
  <c r="AP9" i="17" s="1"/>
  <c r="AO12" i="17"/>
  <c r="AP20" i="17" l="1"/>
  <c r="AP14" i="17"/>
  <c r="AP15" i="17"/>
  <c r="AP13" i="17"/>
  <c r="AP12" i="17"/>
  <c r="AQ7" i="17"/>
  <c r="AQ9" i="17" s="1"/>
  <c r="AP11" i="17"/>
  <c r="AQ20" i="17" l="1"/>
  <c r="AQ15" i="17"/>
  <c r="AQ13" i="17"/>
  <c r="AQ12" i="17"/>
  <c r="AR7" i="17"/>
  <c r="AR9" i="17" s="1"/>
  <c r="AQ11" i="17"/>
  <c r="AQ14" i="17"/>
  <c r="AR20" i="17" l="1"/>
  <c r="AR15" i="17"/>
  <c r="AR12" i="17"/>
  <c r="AS7" i="17"/>
  <c r="AS9" i="17" s="1"/>
  <c r="AR11" i="17"/>
  <c r="AR14" i="17"/>
  <c r="AR6" i="17"/>
  <c r="AR13" i="17"/>
  <c r="AS15" i="17" l="1"/>
  <c r="AS11" i="17"/>
  <c r="AS14" i="17"/>
  <c r="AS13" i="17"/>
  <c r="AS20" i="17"/>
  <c r="AS12" i="17"/>
  <c r="AT7" i="17"/>
  <c r="AT9" i="17" s="1"/>
  <c r="AT14" i="17" l="1"/>
  <c r="AT13" i="17"/>
  <c r="AT20" i="17"/>
  <c r="AT12" i="17"/>
  <c r="AU7" i="17"/>
  <c r="AU9" i="17" s="1"/>
  <c r="AT15" i="17"/>
  <c r="AT11" i="17"/>
  <c r="AU20" i="17" l="1"/>
  <c r="AU13" i="17"/>
  <c r="AU12" i="17"/>
  <c r="AV7" i="17"/>
  <c r="AV9" i="17" s="1"/>
  <c r="AU15" i="17"/>
  <c r="AU11" i="17"/>
  <c r="AU14" i="17"/>
  <c r="AV20" i="17" l="1"/>
  <c r="AV15" i="17"/>
  <c r="AV12" i="17"/>
  <c r="AW7" i="17"/>
  <c r="AW9" i="17" s="1"/>
  <c r="AV11" i="17"/>
  <c r="AV14" i="17"/>
  <c r="AV13" i="17"/>
  <c r="AW15" i="17" l="1"/>
  <c r="AW11" i="17"/>
  <c r="AW20" i="17"/>
  <c r="AW14" i="17"/>
  <c r="AW13" i="17"/>
  <c r="AX7" i="17"/>
  <c r="AX9" i="17" s="1"/>
  <c r="AW12" i="17"/>
  <c r="AX20" i="17" l="1"/>
  <c r="AX14" i="17"/>
  <c r="AX15" i="17"/>
  <c r="AX13" i="17"/>
  <c r="AX12" i="17"/>
  <c r="AY7" i="17"/>
  <c r="AY9" i="17" s="1"/>
  <c r="AX11" i="17"/>
  <c r="AY20" i="17" l="1"/>
  <c r="AY15" i="17"/>
  <c r="AY13" i="17"/>
  <c r="AY12" i="17"/>
  <c r="AZ7" i="17"/>
  <c r="AZ9" i="17" s="1"/>
  <c r="AY11" i="17"/>
  <c r="AY6" i="17"/>
  <c r="AY14" i="17"/>
  <c r="AZ20" i="17" l="1"/>
  <c r="AZ15" i="17"/>
  <c r="AZ12" i="17"/>
  <c r="BA7" i="17"/>
  <c r="BA9" i="17" s="1"/>
  <c r="AZ11" i="17"/>
  <c r="AZ14" i="17"/>
  <c r="AZ13" i="17"/>
  <c r="BA15" i="17" l="1"/>
  <c r="BA11" i="17"/>
  <c r="BA14" i="17"/>
  <c r="BA13" i="17"/>
  <c r="BB7" i="17"/>
  <c r="BB9" i="17" s="1"/>
  <c r="BA12" i="17"/>
  <c r="BA20" i="17"/>
  <c r="BB14" i="17" l="1"/>
  <c r="BB13" i="17"/>
  <c r="BB20" i="17"/>
  <c r="BB12" i="17"/>
  <c r="BC7" i="17"/>
  <c r="BC9" i="17" s="1"/>
  <c r="BB11" i="17"/>
  <c r="BB15" i="17"/>
  <c r="BC20" i="17" l="1"/>
  <c r="BC13" i="17"/>
  <c r="BC12" i="17"/>
  <c r="BD7" i="17"/>
  <c r="BD9" i="17" s="1"/>
  <c r="BC15" i="17"/>
  <c r="BC11" i="17"/>
  <c r="BC14" i="17"/>
  <c r="BD20" i="17" l="1"/>
  <c r="BD15" i="17"/>
  <c r="BD12" i="17"/>
  <c r="BE7" i="17"/>
  <c r="BE9" i="17" s="1"/>
  <c r="BD11" i="17"/>
  <c r="BD14" i="17"/>
  <c r="BD13" i="17"/>
  <c r="BE15" i="17" l="1"/>
  <c r="BE11" i="17"/>
  <c r="BE20" i="17"/>
  <c r="BE14" i="17"/>
  <c r="BE13" i="17"/>
  <c r="BF7" i="17"/>
  <c r="BF9" i="17" s="1"/>
  <c r="BE12" i="17"/>
  <c r="BF20" i="17" l="1"/>
  <c r="BF14" i="17"/>
  <c r="BF15" i="17"/>
  <c r="BF13" i="17"/>
  <c r="BF6" i="17"/>
  <c r="BF12" i="17"/>
  <c r="BG7" i="17"/>
  <c r="BG9" i="17" s="1"/>
  <c r="BF11" i="17"/>
  <c r="BG20" i="17" l="1"/>
  <c r="BG15" i="17"/>
  <c r="BG13" i="17"/>
  <c r="BG12" i="17"/>
  <c r="BH7" i="17"/>
  <c r="BH9" i="17" s="1"/>
  <c r="BG11" i="17"/>
  <c r="BG14" i="17"/>
  <c r="BH20" i="17" l="1"/>
  <c r="BH15" i="17"/>
  <c r="BH12" i="17"/>
  <c r="BI7" i="17"/>
  <c r="BI9" i="17" s="1"/>
  <c r="BH11" i="17"/>
  <c r="BH14" i="17"/>
  <c r="BH13" i="17"/>
  <c r="BI15" i="17" l="1"/>
  <c r="BI11" i="17"/>
  <c r="BI14" i="17"/>
  <c r="BI13" i="17"/>
  <c r="BI12" i="17"/>
  <c r="BI20" i="17"/>
  <c r="BJ7" i="17"/>
  <c r="BJ9" i="17" s="1"/>
  <c r="BJ14" i="17" l="1"/>
  <c r="BJ13" i="17"/>
  <c r="BJ20" i="17"/>
  <c r="BJ12" i="17"/>
  <c r="BK7" i="17"/>
  <c r="BK9" i="17" s="1"/>
  <c r="BJ15" i="17"/>
  <c r="BJ11" i="17"/>
  <c r="BK20" i="17" l="1"/>
  <c r="BK13" i="17"/>
  <c r="BK12" i="17"/>
  <c r="BL7" i="17"/>
  <c r="BL9" i="17" s="1"/>
  <c r="BK15" i="17"/>
  <c r="BK11" i="17"/>
  <c r="BK14" i="17"/>
  <c r="BL20" i="17" l="1"/>
  <c r="BL15" i="17"/>
  <c r="BL12" i="17"/>
  <c r="BL11" i="17"/>
  <c r="BL14" i="17"/>
  <c r="BL13" i="1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<sst xmlns="http://schemas.openxmlformats.org/spreadsheetml/2006/main" count="48" uniqueCount="29">
  <si>
    <t>Chef de projet</t>
  </si>
  <si>
    <t>Date de début du projet :</t>
  </si>
  <si>
    <t>Incrément de défilement :</t>
  </si>
  <si>
    <t>Description du jalon</t>
  </si>
  <si>
    <t>Catégorie</t>
  </si>
  <si>
    <t>Risque faible</t>
  </si>
  <si>
    <t>Risque moyen</t>
  </si>
  <si>
    <t>Risque élevé</t>
  </si>
  <si>
    <t>En bonne voie</t>
  </si>
  <si>
    <t>Attribué à</t>
  </si>
  <si>
    <t>Progression</t>
  </si>
  <si>
    <t>Début</t>
  </si>
  <si>
    <t>Légende :</t>
  </si>
  <si>
    <t>Jours</t>
  </si>
  <si>
    <t>Non attribué</t>
  </si>
  <si>
    <t>Data DSN numérique</t>
  </si>
  <si>
    <t>Rongrong CAI</t>
  </si>
  <si>
    <t>Gestion de projet : la création d'un portfolio métier</t>
  </si>
  <si>
    <t>Création d'un portfolio métier</t>
  </si>
  <si>
    <t>1-Réaliser une carte mentale</t>
  </si>
  <si>
    <t>2-Analyse les besoins métier</t>
  </si>
  <si>
    <t>CAI</t>
  </si>
  <si>
    <t>3-Formaliser un cahier des charges</t>
  </si>
  <si>
    <t>4-Créer un tableau de board décrivant le profil</t>
  </si>
  <si>
    <t>5-Enregistrer un vidéo de  formation</t>
  </si>
  <si>
    <t>6-Formalisr un processus de documentation</t>
  </si>
  <si>
    <t>7-Réaliser une veille métier</t>
  </si>
  <si>
    <t>8-Mise à jour sur la Page GitHub</t>
  </si>
  <si>
    <t>9-Présentation du projet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</si>
</sst>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2" formatCode="_-* #,##0\ &quot;€&quot;_-;\-* #,##0\ &quot;€&quot;_-;_-* &quot;-&quot;\ &quot;€&quot;_-;_-@_-"/>
    <numFmt numFmtId="44" formatCode="_-* #,##0.00\ &quot;€&quot;_-;\-* #,##0.00\ &quot;€&quot;_-;_-* &quot;-&quot;??\ &quot;€&quot;_-;_-@_-"/>
    <numFmt numFmtId="164" formatCode="_(* #,##0.00_);_(* \(#,##0.00\);_(* &quot;-&quot;??_);_(@_)"/>
    <numFmt numFmtId="165" formatCode="#,##0_ ;\-#,##0\ "/>
    <numFmt numFmtId="166" formatCode="d"/>
  </numFmts>
  <fonts count="32" x14ac:knownFonts="1">
    <font>
      <sz val="11"/>
      <color theme="1"/>
      <name val="Calibri"/>
      <family val="2"/>
      <scheme val="minor"/>
    </font>
    <font>
      <sz val="10"/>
      <name val="Calibri"/>
      <family val="2"/>
      <scheme val="minor"/>
    </font>
    <font>
      <u/>
      <sz val="11"/>
      <color indexed="12"/>
      <name val="Arial"/>
      <family val="2"/>
    </font>
    <font>
      <sz val="11"/>
      <name val="Calibri"/>
      <family val="2"/>
      <scheme val="minor"/>
    </font>
    <font>
      <sz val="11"/>
      <color theme="1"/>
      <name val="Calibri"/>
      <family val="2"/>
      <scheme val="minor"/>
    </font>
    <font>
      <sz val="14"/>
      <color theme="1"/>
      <name val="Calibri"/>
      <family val="2"/>
      <scheme val="minor"/>
    </font>
    <font>
      <b/>
      <sz val="22"/>
      <color theme="1" tint="0.34998626667073579"/>
      <name val="Calibri"/>
      <family val="2"/>
      <scheme val="major"/>
    </font>
    <font>
      <sz val="11"/>
      <color theme="0"/>
      <name val="Calibri"/>
      <family val="2"/>
      <scheme val="minor"/>
    </font>
    <font>
      <b/>
      <sz val="10"/>
      <color theme="0"/>
      <name val="Calibri"/>
      <family val="2"/>
      <scheme val="minor"/>
    </font>
    <font>
      <b/>
      <sz val="14"/>
      <name val="Calibri"/>
      <family val="2"/>
      <scheme val="minor"/>
    </font>
    <font>
      <b/>
      <sz val="14"/>
      <color theme="0"/>
      <name val="Calibri"/>
      <family val="2"/>
      <scheme val="minor"/>
    </font>
    <font>
      <sz val="16"/>
      <color theme="1"/>
      <name val="Calibri"/>
      <family val="2"/>
      <scheme val="minor"/>
    </font>
    <font>
      <b/>
      <sz val="11"/>
      <name val="Calibri"/>
      <family val="2"/>
      <scheme val="minor"/>
    </font>
    <font>
      <sz val="14"/>
      <name val="Calibri"/>
      <family val="2"/>
      <scheme val="minor"/>
    </font>
    <font>
      <sz val="16"/>
      <color rgb="FF000000"/>
      <name val="Calibri"/>
      <family val="2"/>
      <scheme val="minor"/>
    </font>
    <font>
      <b/>
      <sz val="11"/>
      <color theme="0"/>
      <name val="Calibri"/>
      <family val="2"/>
      <scheme val="minor"/>
    </font>
    <font>
      <b/>
      <sz val="20"/>
      <name val="Calibri"/>
      <family val="2"/>
      <scheme val="major"/>
    </font>
    <font>
      <b/>
      <sz val="22"/>
      <name val="Calibri"/>
      <family val="2"/>
      <scheme val="major"/>
    </font>
    <font>
      <b/>
      <sz val="16"/>
      <name val="Calibri"/>
      <family val="2"/>
      <scheme val="minor"/>
    </font>
    <font>
      <b/>
      <sz val="26"/>
      <name val="Calibri"/>
      <family val="2"/>
      <scheme val="major"/>
    </font>
    <font>
      <b/>
      <sz val="16"/>
      <color rgb="FF000000"/>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s>
  <fills count="41">
    <fill>
      <patternFill patternType="none"/>
    </fill>
    <fill>
      <patternFill patternType="gray125"/>
    </fill>
    <fill>
      <patternFill patternType="solid">
        <fgColor theme="0" tint="-4.9989318521683403E-2"/>
        <bgColor indexed="64"/>
      </patternFill>
    </fill>
    <fill>
      <patternFill patternType="solid">
        <fgColor theme="6"/>
      </patternFill>
    </fill>
    <fill>
      <patternFill patternType="solid">
        <fgColor theme="2" tint="-9.9978637043366805E-2"/>
        <bgColor indexed="64"/>
      </patternFill>
    </fill>
    <fill>
      <patternFill patternType="solid">
        <fgColor theme="6"/>
        <bgColor indexed="64"/>
      </patternFill>
    </fill>
    <fill>
      <patternFill patternType="solid">
        <fgColor theme="7" tint="-0.249977111117893"/>
        <bgColor indexed="64"/>
      </patternFill>
    </fill>
    <fill>
      <patternFill patternType="solid">
        <fgColor theme="9"/>
        <bgColor indexed="64"/>
      </patternFill>
    </fill>
    <fill>
      <patternFill patternType="solid">
        <fgColor theme="5"/>
        <bgColor indexed="64"/>
      </patternFill>
    </fill>
    <fill>
      <patternFill patternType="solid">
        <fgColor theme="1" tint="0.249977111117893"/>
        <bgColor indexed="64"/>
      </patternFill>
    </fill>
    <fill>
      <patternFill patternType="solid">
        <fgColor theme="0" tint="-0.249977111117893"/>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9">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bottom/>
      <diagonal/>
    </border>
    <border>
      <left/>
      <right style="thin">
        <color theme="0" tint="-0.34998626667073579"/>
      </right>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right/>
      <top style="thin">
        <color theme="0" tint="-0.499984740745262"/>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14993743705557422"/>
      </left>
      <right style="thin">
        <color theme="0" tint="-0.14993743705557422"/>
      </right>
      <top/>
      <bottom/>
      <diagonal/>
    </border>
    <border>
      <left style="thin">
        <color theme="0" tint="-0.34998626667073579"/>
      </left>
      <right/>
      <top style="thin">
        <color theme="0" tint="-0.499984740745262"/>
      </top>
      <bottom/>
      <diagonal/>
    </border>
    <border>
      <left/>
      <right style="thin">
        <color theme="0" tint="-0.34998626667073579"/>
      </right>
      <top style="thin">
        <color theme="0" tint="-0.499984740745262"/>
      </top>
      <bottom/>
      <diagonal/>
    </border>
    <border>
      <left/>
      <right/>
      <top/>
      <bottom style="thin">
        <color theme="0" tint="-0.499984740745262"/>
      </bottom>
      <diagonal/>
    </border>
    <border>
      <left style="thin">
        <color theme="0" tint="-0.34998626667073579"/>
      </left>
      <right/>
      <top/>
      <bottom style="thin">
        <color theme="0" tint="-0.34998626667073579"/>
      </bottom>
      <diagonal/>
    </border>
    <border>
      <left/>
      <right style="thin">
        <color theme="0" tint="-0.34998626667073579"/>
      </right>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0">
    <xf numFmtId="0" fontId="0" fillId="0" borderId="0"/>
    <xf numFmtId="0" fontId="2" fillId="0" borderId="0" applyNumberFormat="0" applyFill="0" applyBorder="0" applyAlignment="0" applyProtection="0">
      <alignment vertical="top"/>
      <protection locked="0"/>
    </xf>
    <xf numFmtId="9" fontId="4" fillId="0" borderId="0" applyFont="0" applyFill="0" applyBorder="0" applyProtection="0">
      <alignment horizontal="center" vertical="center"/>
    </xf>
    <xf numFmtId="0" fontId="7" fillId="0" borderId="0"/>
    <xf numFmtId="164" fontId="4" fillId="0" borderId="1"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vertical="center" indent="1"/>
    </xf>
    <xf numFmtId="14" fontId="4" fillId="0" borderId="0" applyFont="0" applyFill="0" applyBorder="0">
      <alignment horizontal="center" vertical="center"/>
    </xf>
    <xf numFmtId="165" fontId="4" fillId="0" borderId="0" applyFont="0" applyFill="0" applyBorder="0" applyProtection="0">
      <alignment horizontal="center" vertical="center"/>
    </xf>
    <xf numFmtId="0" fontId="7" fillId="3" borderId="0" applyNumberFormat="0" applyBorder="0" applyAlignment="0" applyProtection="0"/>
    <xf numFmtId="44" fontId="4" fillId="0" borderId="0" applyFont="0" applyFill="0" applyBorder="0" applyAlignment="0" applyProtection="0"/>
    <xf numFmtId="42" fontId="4" fillId="0" borderId="0" applyFont="0" applyFill="0" applyBorder="0" applyAlignment="0" applyProtection="0"/>
    <xf numFmtId="0" fontId="21" fillId="0" borderId="0" applyNumberFormat="0" applyFill="0" applyBorder="0" applyAlignment="0" applyProtection="0"/>
    <xf numFmtId="0" fontId="22" fillId="11" borderId="0" applyNumberFormat="0" applyBorder="0" applyAlignment="0" applyProtection="0"/>
    <xf numFmtId="0" fontId="23" fillId="12" borderId="0" applyNumberFormat="0" applyBorder="0" applyAlignment="0" applyProtection="0"/>
    <xf numFmtId="0" fontId="24" fillId="13" borderId="0" applyNumberFormat="0" applyBorder="0" applyAlignment="0" applyProtection="0"/>
    <xf numFmtId="0" fontId="25" fillId="14" borderId="13" applyNumberFormat="0" applyAlignment="0" applyProtection="0"/>
    <xf numFmtId="0" fontId="26" fillId="15" borderId="14" applyNumberFormat="0" applyAlignment="0" applyProtection="0"/>
    <xf numFmtId="0" fontId="27" fillId="15" borderId="13" applyNumberFormat="0" applyAlignment="0" applyProtection="0"/>
    <xf numFmtId="0" fontId="28" fillId="0" borderId="15" applyNumberFormat="0" applyFill="0" applyAlignment="0" applyProtection="0"/>
    <xf numFmtId="0" fontId="15" fillId="16" borderId="16" applyNumberFormat="0" applyAlignment="0" applyProtection="0"/>
    <xf numFmtId="0" fontId="29" fillId="0" borderId="0" applyNumberFormat="0" applyFill="0" applyBorder="0" applyAlignment="0" applyProtection="0"/>
    <xf numFmtId="0" fontId="4" fillId="17" borderId="17" applyNumberFormat="0" applyFont="0" applyAlignment="0" applyProtection="0"/>
    <xf numFmtId="0" fontId="30" fillId="0" borderId="0" applyNumberFormat="0" applyFill="0" applyBorder="0" applyAlignment="0" applyProtection="0"/>
    <xf numFmtId="0" fontId="31" fillId="0" borderId="18" applyNumberFormat="0" applyFill="0" applyAlignment="0" applyProtection="0"/>
    <xf numFmtId="0" fontId="7" fillId="18"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7" fillId="22"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4" fillId="26" borderId="0" applyNumberFormat="0" applyBorder="0" applyAlignment="0" applyProtection="0"/>
    <xf numFmtId="0" fontId="4" fillId="27" borderId="0" applyNumberFormat="0" applyBorder="0" applyAlignment="0" applyProtection="0"/>
    <xf numFmtId="0" fontId="4" fillId="28" borderId="0" applyNumberFormat="0" applyBorder="0" applyAlignment="0" applyProtection="0"/>
    <xf numFmtId="0" fontId="7" fillId="29" borderId="0" applyNumberFormat="0" applyBorder="0" applyAlignment="0" applyProtection="0"/>
    <xf numFmtId="0" fontId="4" fillId="30" borderId="0" applyNumberFormat="0" applyBorder="0" applyAlignment="0" applyProtection="0"/>
    <xf numFmtId="0" fontId="4" fillId="31" borderId="0" applyNumberFormat="0" applyBorder="0" applyAlignment="0" applyProtection="0"/>
    <xf numFmtId="0" fontId="4" fillId="32" borderId="0" applyNumberFormat="0" applyBorder="0" applyAlignment="0" applyProtection="0"/>
    <xf numFmtId="0" fontId="7" fillId="33" borderId="0" applyNumberFormat="0" applyBorder="0" applyAlignment="0" applyProtection="0"/>
    <xf numFmtId="0" fontId="4" fillId="34" borderId="0" applyNumberFormat="0" applyBorder="0" applyAlignment="0" applyProtection="0"/>
    <xf numFmtId="0" fontId="4" fillId="35" borderId="0" applyNumberFormat="0" applyBorder="0" applyAlignment="0" applyProtection="0"/>
    <xf numFmtId="0" fontId="4" fillId="36" borderId="0" applyNumberFormat="0" applyBorder="0" applyAlignment="0" applyProtection="0"/>
    <xf numFmtId="0" fontId="7" fillId="37" borderId="0" applyNumberFormat="0" applyBorder="0" applyAlignment="0" applyProtection="0"/>
    <xf numFmtId="0" fontId="4" fillId="38" borderId="0" applyNumberFormat="0" applyBorder="0" applyAlignment="0" applyProtection="0"/>
    <xf numFmtId="0" fontId="4" fillId="39" borderId="0" applyNumberFormat="0" applyBorder="0" applyAlignment="0" applyProtection="0"/>
    <xf numFmtId="0" fontId="4" fillId="40" borderId="0" applyNumberFormat="0" applyBorder="0" applyAlignment="0" applyProtection="0"/>
  </cellStyleXfs>
  <cellXfs count="61">
    <xf numFmtId="0" fontId="0" fillId="0" borderId="0" xfId="0"/>
    <xf numFmtId="0" fontId="0" fillId="0" borderId="0" xfId="0" applyAlignment="1">
      <alignment vertical="center"/>
    </xf>
    <xf numFmtId="0" fontId="0" fillId="0" borderId="0" xfId="0" applyAlignment="1">
      <alignment horizontal="center"/>
    </xf>
    <xf numFmtId="0" fontId="7" fillId="0" borderId="0" xfId="3"/>
    <xf numFmtId="0" fontId="7" fillId="0" borderId="0" xfId="3" applyAlignment="1">
      <alignment wrapText="1"/>
    </xf>
    <xf numFmtId="0" fontId="0" fillId="0" borderId="0" xfId="0" applyAlignment="1">
      <alignment horizontal="center" vertical="center" wrapText="1"/>
    </xf>
    <xf numFmtId="9" fontId="0" fillId="0" borderId="0" xfId="2" applyFont="1" applyFill="1" applyBorder="1">
      <alignment horizontal="center" vertical="center"/>
    </xf>
    <xf numFmtId="14" fontId="0" fillId="0" borderId="0" xfId="9" applyFont="1" applyFill="1" applyBorder="1">
      <alignment horizontal="center" vertical="center"/>
    </xf>
    <xf numFmtId="165" fontId="0" fillId="0" borderId="0" xfId="10" applyFont="1" applyFill="1" applyBorder="1">
      <alignment horizontal="center" vertical="center"/>
    </xf>
    <xf numFmtId="0" fontId="0" fillId="0" borderId="0" xfId="0" applyAlignment="1">
      <alignment horizontal="left" wrapText="1" indent="2"/>
    </xf>
    <xf numFmtId="0" fontId="0" fillId="0" borderId="4" xfId="0" applyBorder="1" applyAlignment="1">
      <alignment horizontal="center" vertical="center"/>
    </xf>
    <xf numFmtId="0" fontId="0" fillId="0" borderId="7" xfId="0" applyBorder="1" applyAlignment="1">
      <alignment vertical="center"/>
    </xf>
    <xf numFmtId="0" fontId="0" fillId="0" borderId="6" xfId="0" applyBorder="1" applyAlignment="1">
      <alignment vertical="center"/>
    </xf>
    <xf numFmtId="0" fontId="3" fillId="0" borderId="0" xfId="0" applyFont="1" applyAlignment="1">
      <alignment horizontal="center" vertical="center"/>
    </xf>
    <xf numFmtId="9" fontId="12" fillId="0" borderId="0" xfId="2" applyFont="1" applyFill="1" applyBorder="1">
      <alignment horizontal="center" vertical="center"/>
    </xf>
    <xf numFmtId="14" fontId="3" fillId="0" borderId="0" xfId="9" applyFont="1" applyFill="1" applyBorder="1">
      <alignment horizontal="center" vertical="center"/>
    </xf>
    <xf numFmtId="165" fontId="3" fillId="0" borderId="0" xfId="10" applyFont="1" applyFill="1" applyBorder="1">
      <alignment horizontal="center" vertical="center"/>
    </xf>
    <xf numFmtId="0" fontId="3" fillId="0" borderId="0" xfId="0" applyFont="1" applyAlignment="1">
      <alignment horizontal="left" vertical="center" wrapText="1" indent="2"/>
    </xf>
    <xf numFmtId="0" fontId="3" fillId="2" borderId="0" xfId="0" applyFont="1" applyFill="1"/>
    <xf numFmtId="0" fontId="17" fillId="0" borderId="0" xfId="5" applyFont="1" applyFill="1" applyBorder="1" applyAlignment="1">
      <alignment horizontal="left" vertical="center"/>
    </xf>
    <xf numFmtId="0" fontId="16" fillId="0" borderId="0" xfId="0" applyFont="1" applyAlignment="1">
      <alignment horizontal="left" vertical="center"/>
    </xf>
    <xf numFmtId="0" fontId="3" fillId="0" borderId="0" xfId="0" applyFont="1" applyAlignment="1">
      <alignment vertical="center"/>
    </xf>
    <xf numFmtId="0" fontId="13" fillId="0" borderId="0" xfId="0" applyFont="1" applyAlignment="1">
      <alignment horizontal="center" vertical="center"/>
    </xf>
    <xf numFmtId="0" fontId="18" fillId="0" borderId="0" xfId="6" applyFont="1" applyFill="1" applyAlignment="1">
      <alignment horizontal="left" vertical="center" indent="2"/>
    </xf>
    <xf numFmtId="0" fontId="13" fillId="0" borderId="0" xfId="6" applyFont="1" applyFill="1" applyAlignment="1">
      <alignment horizontal="left" vertical="center" indent="2"/>
    </xf>
    <xf numFmtId="0" fontId="3" fillId="0" borderId="0" xfId="0" applyFont="1" applyAlignment="1">
      <alignment horizontal="left" vertical="center" indent="2"/>
    </xf>
    <xf numFmtId="0" fontId="3" fillId="0" borderId="0" xfId="0" applyFont="1"/>
    <xf numFmtId="0" fontId="3" fillId="0" borderId="0" xfId="0" applyFont="1" applyAlignment="1">
      <alignment horizontal="center"/>
    </xf>
    <xf numFmtId="0" fontId="3" fillId="0" borderId="0" xfId="0" applyFont="1" applyAlignment="1">
      <alignment horizontal="right" vertical="center"/>
    </xf>
    <xf numFmtId="0" fontId="18" fillId="0" borderId="0" xfId="0" applyFont="1" applyAlignment="1">
      <alignment horizontal="left" vertical="center" indent="2"/>
    </xf>
    <xf numFmtId="0" fontId="3" fillId="0" borderId="0" xfId="8" applyFont="1" applyFill="1" applyAlignment="1">
      <alignment horizontal="left" vertical="center" indent="2"/>
    </xf>
    <xf numFmtId="14" fontId="3" fillId="0" borderId="0" xfId="9" applyFont="1" applyFill="1" applyBorder="1" applyAlignment="1">
      <alignment horizontal="left" vertical="center"/>
    </xf>
    <xf numFmtId="14" fontId="3" fillId="0" borderId="0" xfId="9" applyFont="1" applyFill="1" applyBorder="1" applyAlignment="1">
      <alignment horizontal="left" vertical="center" indent="2"/>
    </xf>
    <xf numFmtId="0" fontId="3" fillId="0" borderId="0" xfId="0" applyFont="1" applyAlignment="1">
      <alignment horizontal="left" vertical="center"/>
    </xf>
    <xf numFmtId="0" fontId="3" fillId="0" borderId="3" xfId="0" applyFont="1" applyBorder="1"/>
    <xf numFmtId="0" fontId="13" fillId="0" borderId="0" xfId="0" applyFont="1" applyAlignment="1">
      <alignment vertical="center"/>
    </xf>
    <xf numFmtId="0" fontId="8" fillId="0" borderId="3" xfId="0" applyFont="1" applyBorder="1" applyAlignment="1">
      <alignment horizontal="center" vertical="center" wrapText="1"/>
    </xf>
    <xf numFmtId="0" fontId="11" fillId="0" borderId="10" xfId="0" applyFont="1" applyBorder="1"/>
    <xf numFmtId="0" fontId="18" fillId="0" borderId="10" xfId="0" applyFont="1" applyBorder="1" applyAlignment="1">
      <alignment vertical="center"/>
    </xf>
    <xf numFmtId="0" fontId="20" fillId="0" borderId="10" xfId="0" applyFont="1" applyBorder="1" applyAlignment="1">
      <alignment vertical="center"/>
    </xf>
    <xf numFmtId="0" fontId="14" fillId="0" borderId="10" xfId="0" applyFont="1" applyBorder="1" applyAlignment="1">
      <alignment vertical="center"/>
    </xf>
    <xf numFmtId="0" fontId="1" fillId="10" borderId="1" xfId="0" applyFont="1" applyFill="1" applyBorder="1" applyAlignment="1">
      <alignment horizontal="center" vertical="center" shrinkToFit="1"/>
    </xf>
    <xf numFmtId="0" fontId="15" fillId="9" borderId="0" xfId="0" applyFont="1" applyFill="1" applyAlignment="1">
      <alignment horizontal="left" vertical="center" indent="1"/>
    </xf>
    <xf numFmtId="0" fontId="15" fillId="9" borderId="0" xfId="0" applyFont="1" applyFill="1" applyAlignment="1">
      <alignment horizontal="center" vertical="center" wrapText="1"/>
    </xf>
    <xf numFmtId="0" fontId="12" fillId="0" borderId="0" xfId="0" applyFont="1" applyAlignment="1">
      <alignment horizontal="left" vertical="center" wrapText="1" indent="1"/>
    </xf>
    <xf numFmtId="166" fontId="1" fillId="10" borderId="8" xfId="0" applyNumberFormat="1" applyFont="1" applyFill="1" applyBorder="1" applyAlignment="1">
      <alignment horizontal="center" vertical="center"/>
    </xf>
    <xf numFmtId="166" fontId="1" fillId="10" borderId="5" xfId="0" applyNumberFormat="1" applyFont="1" applyFill="1" applyBorder="1" applyAlignment="1">
      <alignment horizontal="center" vertical="center"/>
    </xf>
    <xf numFmtId="166" fontId="1" fillId="10" borderId="9" xfId="0" applyNumberFormat="1" applyFont="1" applyFill="1" applyBorder="1" applyAlignment="1">
      <alignment horizontal="center" vertical="center"/>
    </xf>
    <xf numFmtId="166" fontId="1" fillId="10" borderId="2" xfId="0" applyNumberFormat="1" applyFont="1" applyFill="1" applyBorder="1" applyAlignment="1">
      <alignment horizontal="center" vertical="center"/>
    </xf>
    <xf numFmtId="166" fontId="1" fillId="10" borderId="0" xfId="0" applyNumberFormat="1" applyFont="1" applyFill="1" applyAlignment="1">
      <alignment horizontal="center" vertical="center"/>
    </xf>
    <xf numFmtId="166" fontId="1" fillId="10" borderId="11" xfId="0" applyNumberFormat="1" applyFont="1" applyFill="1" applyBorder="1" applyAlignment="1">
      <alignment horizontal="center" vertical="center"/>
    </xf>
    <xf numFmtId="166" fontId="1" fillId="10" borderId="12" xfId="0" applyNumberFormat="1" applyFont="1" applyFill="1" applyBorder="1" applyAlignment="1">
      <alignment horizontal="center" vertical="center"/>
    </xf>
    <xf numFmtId="166" fontId="1" fillId="10" borderId="3" xfId="0" applyNumberFormat="1" applyFont="1" applyFill="1" applyBorder="1" applyAlignment="1">
      <alignment horizontal="center" vertical="center"/>
    </xf>
    <xf numFmtId="0" fontId="10" fillId="8" borderId="0" xfId="0" applyFont="1" applyFill="1" applyAlignment="1">
      <alignment horizontal="center" vertical="center"/>
    </xf>
    <xf numFmtId="0" fontId="10" fillId="6" borderId="0" xfId="0" applyFont="1" applyFill="1" applyAlignment="1">
      <alignment horizontal="center" vertical="center"/>
    </xf>
    <xf numFmtId="0" fontId="9" fillId="4" borderId="0" xfId="0" applyFont="1" applyFill="1" applyAlignment="1">
      <alignment horizontal="center" vertical="center"/>
    </xf>
    <xf numFmtId="0" fontId="19" fillId="2" borderId="0" xfId="5" applyFont="1" applyFill="1" applyAlignment="1">
      <alignment horizontal="left" vertical="center" indent="1"/>
    </xf>
    <xf numFmtId="0" fontId="13" fillId="2" borderId="0" xfId="0" applyFont="1" applyFill="1" applyAlignment="1">
      <alignment horizontal="center" vertical="center"/>
    </xf>
    <xf numFmtId="0" fontId="3" fillId="2" borderId="0" xfId="0" applyFont="1" applyFill="1" applyAlignment="1">
      <alignment horizontal="center" vertical="center"/>
    </xf>
    <xf numFmtId="0" fontId="10" fillId="5" borderId="0" xfId="11" applyFont="1" applyFill="1" applyAlignment="1">
      <alignment horizontal="center" vertical="center"/>
    </xf>
    <xf numFmtId="0" fontId="10" fillId="7" borderId="0" xfId="0" applyFont="1" applyFill="1" applyAlignment="1">
      <alignment horizontal="center" vertical="center"/>
    </xf>
  </cellXfs>
  <cellStyles count="50">
    <cellStyle name="20 % - Accent1" xfId="28" builtinId="30" customBuiltin="1"/>
    <cellStyle name="20 % - Accent2" xfId="32" builtinId="34" customBuiltin="1"/>
    <cellStyle name="20 % - Accent3" xfId="35" builtinId="38" customBuiltin="1"/>
    <cellStyle name="20 % - Accent4" xfId="39" builtinId="42" customBuiltin="1"/>
    <cellStyle name="20 % - Accent5" xfId="43" builtinId="46" customBuiltin="1"/>
    <cellStyle name="20 % - Accent6" xfId="47" builtinId="50" customBuiltin="1"/>
    <cellStyle name="40 % - Accent1" xfId="29" builtinId="31" customBuiltin="1"/>
    <cellStyle name="40 % - Accent2" xfId="33" builtinId="35" customBuiltin="1"/>
    <cellStyle name="40 % - Accent3" xfId="36" builtinId="39" customBuiltin="1"/>
    <cellStyle name="40 % - Accent4" xfId="40" builtinId="43" customBuiltin="1"/>
    <cellStyle name="40 % - Accent5" xfId="44" builtinId="47" customBuiltin="1"/>
    <cellStyle name="40 % - Accent6" xfId="48" builtinId="51" customBuiltin="1"/>
    <cellStyle name="60 % - Accent1" xfId="30" builtinId="32" customBuiltin="1"/>
    <cellStyle name="60 % - Accent2" xfId="34" builtinId="36" customBuiltin="1"/>
    <cellStyle name="60 % - Accent3" xfId="37" builtinId="40" customBuiltin="1"/>
    <cellStyle name="60 % - Accent4" xfId="41" builtinId="44" customBuiltin="1"/>
    <cellStyle name="60 % - Accent5" xfId="45" builtinId="48" customBuiltin="1"/>
    <cellStyle name="60 % - Accent6" xfId="49" builtinId="52" customBuiltin="1"/>
    <cellStyle name="Accent1" xfId="27" builtinId="29" customBuiltin="1"/>
    <cellStyle name="Accent2" xfId="31" builtinId="33" customBuiltin="1"/>
    <cellStyle name="Accent3" xfId="11" builtinId="37" customBuiltin="1"/>
    <cellStyle name="Accent4" xfId="38" builtinId="41" customBuiltin="1"/>
    <cellStyle name="Accent5" xfId="42" builtinId="45" customBuiltin="1"/>
    <cellStyle name="Accent6" xfId="46" builtinId="49" customBuiltin="1"/>
    <cellStyle name="Avertissement" xfId="23" builtinId="11" customBuiltin="1"/>
    <cellStyle name="Calcul" xfId="20" builtinId="22" customBuiltin="1"/>
    <cellStyle name="Cellule liée" xfId="21" builtinId="24" customBuiltin="1"/>
    <cellStyle name="Date" xfId="9" xr:uid="{229918B6-DD13-4F5A-97B9-305F7E002AA3}"/>
    <cellStyle name="Entrée" xfId="18" builtinId="20" customBuiltin="1"/>
    <cellStyle name="Insatisfaisant" xfId="16" builtinId="27" customBuiltin="1"/>
    <cellStyle name="Lien hypertexte" xfId="1" builtinId="8" customBuiltin="1"/>
    <cellStyle name="Milliers" xfId="4" builtinId="3" customBuiltin="1"/>
    <cellStyle name="Milliers [0]" xfId="10" builtinId="6" customBuiltin="1"/>
    <cellStyle name="Monétaire" xfId="12" builtinId="4" customBuiltin="1"/>
    <cellStyle name="Monétaire [0]" xfId="13" builtinId="7" customBuiltin="1"/>
    <cellStyle name="Neutre" xfId="17" builtinId="28" customBuiltin="1"/>
    <cellStyle name="Normal" xfId="0" builtinId="0" customBuiltin="1"/>
    <cellStyle name="Note" xfId="24" builtinId="10" customBuiltin="1"/>
    <cellStyle name="Pourcentage" xfId="2" builtinId="5" customBuiltin="1"/>
    <cellStyle name="Satisfaisant" xfId="15" builtinId="26" customBuiltin="1"/>
    <cellStyle name="Sortie" xfId="19" builtinId="21" customBuiltin="1"/>
    <cellStyle name="Texte explicatif" xfId="25" builtinId="53" customBuiltin="1"/>
    <cellStyle name="Titre" xfId="5" builtinId="15" customBuiltin="1"/>
    <cellStyle name="Titre 1" xfId="6" builtinId="16" customBuiltin="1"/>
    <cellStyle name="Titre 2" xfId="7" builtinId="17" customBuiltin="1"/>
    <cellStyle name="Titre 3" xfId="8" builtinId="18" customBuiltin="1"/>
    <cellStyle name="Titre 4" xfId="14" builtinId="19" customBuiltin="1"/>
    <cellStyle name="Total" xfId="26" builtinId="25" customBuiltin="1"/>
    <cellStyle name="Vérification" xfId="22" builtinId="23" customBuiltin="1"/>
    <cellStyle name="zTexteMasqué" xfId="3" xr:uid="{26E66EE6-E33F-4D77-BAE4-0FB4F5BBF673}"/>
  </cellStyles>
  <dxfs count="30">
    <dxf>
      <font>
        <color auto="1"/>
      </font>
      <fill>
        <patternFill>
          <bgColor theme="0" tint="-0.14996795556505021"/>
        </patternFill>
      </fill>
      <border>
        <left/>
        <right/>
        <top/>
        <bottom style="thin">
          <color theme="0" tint="-0.34998626667073579"/>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ont>
        <color auto="1"/>
      </font>
      <fill>
        <patternFill>
          <bgColor theme="0" tint="-4.9989318521683403E-2"/>
        </patternFill>
      </fill>
      <border>
        <left/>
        <right/>
        <top/>
        <bottom style="thin">
          <color theme="0" tint="-0.34998626667073579"/>
        </bottom>
        <vertical/>
        <horizontal/>
      </border>
    </dxf>
    <dxf>
      <font>
        <color auto="1"/>
      </font>
      <fill>
        <patternFill>
          <bgColor theme="0" tint="-0.14996795556505021"/>
        </patternFill>
      </fill>
      <border>
        <left/>
        <right/>
        <top/>
        <bottom style="thin">
          <color theme="0" tint="-0.34998626667073579"/>
        </bottom>
      </border>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alignment horizontal="center" vertical="center" textRotation="0" indent="0" justifyLastLine="0" shrinkToFit="0" readingOrder="0"/>
    </dxf>
    <dxf>
      <font>
        <strike val="0"/>
        <outline val="0"/>
        <shadow val="0"/>
        <u val="none"/>
        <vertAlign val="baseline"/>
        <sz val="11"/>
        <name val="Calibri"/>
        <family val="2"/>
        <scheme val="minor"/>
      </font>
      <alignment horizontal="center" vertical="center" textRotation="0" wrapText="0" indent="0" justifyLastLine="0" shrinkToFit="0" readingOrder="0"/>
    </dxf>
    <dxf>
      <font>
        <strike val="0"/>
        <outline val="0"/>
        <shadow val="0"/>
        <u val="none"/>
        <vertAlign val="baseline"/>
        <sz val="11"/>
        <name val="Calibri"/>
        <family val="2"/>
        <scheme val="minor"/>
      </font>
      <alignment horizontal="left" vertical="bottom" textRotation="0" wrapText="1" relativeIndent="1" justifyLastLine="0" shrinkToFit="0" readingOrder="0"/>
    </dxf>
    <dxf>
      <font>
        <strike val="0"/>
        <outline val="0"/>
        <shadow val="0"/>
        <u val="none"/>
        <vertAlign val="baseline"/>
        <sz val="11"/>
        <name val="Calibri"/>
        <family val="2"/>
        <scheme val="minor"/>
      </font>
    </dxf>
    <dxf>
      <font>
        <b/>
        <strike val="0"/>
        <outline val="0"/>
        <shadow val="0"/>
        <u val="none"/>
        <vertAlign val="baseline"/>
        <sz val="11"/>
        <color theme="0"/>
        <name val="Calibri"/>
        <family val="2"/>
        <scheme val="minor"/>
      </font>
      <fill>
        <patternFill patternType="solid">
          <fgColor indexed="64"/>
          <bgColor theme="1" tint="0.249977111117893"/>
        </patternFill>
      </fill>
    </dxf>
    <dxf>
      <border diagonalUp="0" diagonalDown="0">
        <left/>
        <right/>
        <top/>
        <bottom/>
        <vertical/>
        <horizontal/>
      </border>
    </dxf>
    <dxf>
      <border diagonalUp="0" diagonalDown="0">
        <left/>
        <right/>
        <top/>
        <bottom/>
        <vertical/>
        <horizontal/>
      </border>
    </dxf>
    <dxf>
      <border diagonalUp="0" diagonalDown="0">
        <left/>
        <right/>
        <top/>
        <bottom/>
        <vertical/>
        <horizontal/>
      </border>
    </dxf>
    <dxf>
      <fill>
        <patternFill>
          <bgColor theme="0" tint="-4.9989318521683403E-2"/>
        </patternFill>
      </fill>
      <border diagonalUp="0" diagonalDown="0">
        <left/>
        <right/>
        <top/>
        <bottom/>
        <vertical/>
        <horizontal/>
      </border>
    </dxf>
    <dxf>
      <font>
        <b/>
        <color theme="1"/>
      </font>
    </dxf>
    <dxf>
      <font>
        <b val="0"/>
        <i val="0"/>
        <color theme="1"/>
      </font>
      <border diagonalUp="0" diagonalDown="0">
        <left/>
        <right/>
        <top/>
        <bottom/>
        <vertical/>
        <horizontal/>
      </border>
    </dxf>
    <dxf>
      <font>
        <b/>
        <color theme="1"/>
      </font>
      <border diagonalUp="0" diagonalDown="0">
        <left/>
        <right/>
        <top/>
        <bottom/>
        <vertical/>
        <horizontal/>
      </border>
    </dxf>
    <dxf>
      <font>
        <b/>
        <color theme="0"/>
      </font>
      <fill>
        <patternFill patternType="solid">
          <fgColor theme="4"/>
          <bgColor theme="4"/>
        </patternFill>
      </fill>
      <border diagonalUp="0" diagonalDown="0">
        <left/>
        <right/>
        <top/>
        <bottom/>
        <vertical/>
        <horizontal/>
      </border>
    </dxf>
    <dxf>
      <font>
        <color auto="1"/>
      </font>
      <border diagonalUp="0" diagonalDown="0">
        <left/>
        <right/>
        <top/>
        <bottom/>
        <vertical/>
        <horizontal/>
      </border>
    </dxf>
    <dxf>
      <fill>
        <patternFill>
          <bgColor theme="1" tint="0.24994659260841701"/>
        </patternFill>
      </fill>
    </dxf>
    <dxf>
      <fill>
        <patternFill patternType="solid">
          <fgColor indexed="64"/>
          <bgColor theme="1" tint="0.34998626667073579"/>
        </patternFill>
      </fill>
      <border diagonalUp="0" diagonalDown="0">
        <left/>
        <right/>
        <top/>
        <bottom/>
        <vertical/>
        <horizontal/>
      </border>
    </dxf>
    <dxf>
      <font>
        <color theme="0"/>
      </font>
      <fill>
        <patternFill>
          <bgColor theme="1" tint="0.34998626667073579"/>
        </patternFill>
      </fill>
      <border diagonalUp="0" diagonalDown="0">
        <left/>
        <right/>
        <top/>
        <bottom/>
        <vertical/>
        <horizontal/>
      </border>
    </dxf>
    <dxf>
      <font>
        <strike val="0"/>
        <color auto="1"/>
      </font>
      <border diagonalUp="0" diagonalDown="0">
        <left/>
        <right/>
        <top/>
        <bottom/>
        <vertical/>
        <horizontal/>
      </border>
    </dxf>
  </dxfs>
  <tableStyles count="2" defaultPivotStyle="PivotStyleLight16">
    <tableStyle name="Style de tableau Gantt" pivot="0" count="4" xr9:uid="{4904D139-63E4-4221-B7C9-C6C5B7A50FAF}">
      <tableStyleElement type="wholeTable" dxfId="29"/>
      <tableStyleElement type="headerRow" dxfId="28"/>
      <tableStyleElement type="firstRowStripe" dxfId="27"/>
      <tableStyleElement type="secondRowStripe" dxfId="26"/>
    </tableStyle>
    <tableStyle name="ListeDesTâches" pivot="0" count="9" xr9:uid="{00000000-0011-0000-FFFF-FFFF00000000}">
      <tableStyleElement type="wholeTable" dxfId="25"/>
      <tableStyleElement type="headerRow" dxfId="24"/>
      <tableStyleElement type="totalRow" dxfId="23"/>
      <tableStyleElement type="firstColumn" dxfId="22"/>
      <tableStyleElement type="lastColumn" dxfId="21"/>
      <tableStyleElement type="firstRowStripe" dxfId="20"/>
      <tableStyleElement type="secondRowStripe" dxfId="19"/>
      <tableStyleElement type="firstColumnStripe" dxfId="18"/>
      <tableStyleElement type="secondColumnStripe" dxfId="1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000000"/>
      <color rgb="FF215881"/>
      <color rgb="FF42648A"/>
      <color rgb="FF969696"/>
      <color rgb="FFC0C0C0"/>
      <color rgb="FF427FC2"/>
      <color rgb="FF44678E"/>
      <color rgb="FF4A6F9C"/>
      <color rgb="FF3969A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styles" Target="style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 Id="rId9" Type="http://schemas.openxmlformats.org/officeDocument/2006/relationships/customXml" Target="../customXml/item3.xml"/></Relationships>
</file>

<file path=xl/ctrlProps/ctrlProp1.xml><?xml version="1.0" encoding="utf-8"?>
<formControlPr xmlns="http://schemas.microsoft.com/office/spreadsheetml/2009/9/main" objectType="Scroll" dx="39" fmlaLink="$C$7" horiz="1" max="365" page="2"/>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31750</xdr:colOff>
          <xdr:row>7</xdr:row>
          <xdr:rowOff>57150</xdr:rowOff>
        </xdr:from>
        <xdr:to>
          <xdr:col>63</xdr:col>
          <xdr:colOff>228600</xdr:colOff>
          <xdr:row>7</xdr:row>
          <xdr:rowOff>241300</xdr:rowOff>
        </xdr:to>
        <xdr:sp macro="" textlink="">
          <xdr:nvSpPr>
            <xdr:cNvPr id="16385" name="Barre de défilement 1" descr="Défiler la barre pour faire défiler la chronologie du projet Gantt." hidden="1">
              <a:extLst>
                <a:ext uri="{63B3BB69-23CF-44E3-9099-C40C66FF867C}">
                  <a14:compatExt spid="_x0000_s16385"/>
                </a:ext>
                <a:ext uri="{FF2B5EF4-FFF2-40B4-BE49-F238E27FC236}">
                  <a16:creationId xmlns:a16="http://schemas.microsoft.com/office/drawing/2014/main" id="{00000000-0008-0000-0100-0000014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D82988E-1813-40AE-BDE7-9F0200A703CB}" name="Jalons4352" displayName="Jalons4352" ref="B9:G20" totalsRowShown="0" headerRowDxfId="16" dataDxfId="15">
  <autoFilter ref="B9:G20" xr:uid="{29E5A880-80D5-4B65-B5FB-8FB3913D3D27}">
    <filterColumn colId="0" hiddenButton="1"/>
    <filterColumn colId="1" hiddenButton="1"/>
    <filterColumn colId="2" hiddenButton="1"/>
    <filterColumn colId="3" hiddenButton="1"/>
    <filterColumn colId="4" hiddenButton="1"/>
    <filterColumn colId="5" hiddenButton="1"/>
  </autoFilter>
  <tableColumns count="6">
    <tableColumn id="1" xr3:uid="{619BF8F6-D0F1-41AD-871D-FE0240C45A93}" name="Description du jalon" dataDxfId="14"/>
    <tableColumn id="2" xr3:uid="{39BD914E-FB02-4352-846C-6D59624DC0B0}" name="Catégorie" dataDxfId="13"/>
    <tableColumn id="3" xr3:uid="{D274194F-BCA0-44F3-84B2-217254EE241C}" name="Attribué à" dataDxfId="12"/>
    <tableColumn id="4" xr3:uid="{8385BC6F-56EE-4363-A106-8DB0A1E4EF5A}" name="Progression" dataDxfId="11"/>
    <tableColumn id="5" xr3:uid="{02926609-7B93-4B6F-BE96-92EC7A949E4B}" name="Début" dataDxfId="10" dataCellStyle="Date"/>
    <tableColumn id="6" xr3:uid="{8FF9BE8E-04B7-4B39-AC27-D2E534204BC3}" name="Jours" dataDxfId="9" dataCellStyle="Milliers [0]"/>
  </tableColumns>
  <tableStyleInfo name="ListeDesTâches" showFirstColumn="1" showLastColumn="0" showRowStripes="1" showColumnStripes="0"/>
  <extLst>
    <ext xmlns:x14="http://schemas.microsoft.com/office/spreadsheetml/2009/9/main" uri="{504A1905-F514-4f6f-8877-14C23A59335A}">
      <x14:table altTextSummary="Entrez les informations concernant le projet dans ce tableau. Entrez une description de jalon pour une phase, une tâche, une activité, etc. dans la colonne en dessous de la description. Sélectionnez une catégorie dans la colonne Catégorie. Attribuez l’élément à une personne dans la colonne attribuée à. Mettez à jour la progression et observez la mise à jour automatique des barres de données dans la colonne Progression. Entrez la date de début dans la colonne Début et le nombre de jours dans la colonne Nombre de jours. Les données de cette cellule se mettront à jour automatiquement dans les cellules J9 à BM 34. Ajoutez de nouvelles lignes au tableau pour ajouter des tâches supplémentaires."/>
    </ext>
  </extLst>
</table>
</file>

<file path=xl/theme/theme1.xml><?xml version="1.0" encoding="utf-8"?>
<a:theme xmlns:a="http://schemas.openxmlformats.org/drawingml/2006/main" name="Attitude">
  <a:themeElements>
    <a:clrScheme name="Custom 60">
      <a:dk1>
        <a:srgbClr val="000000"/>
      </a:dk1>
      <a:lt1>
        <a:sysClr val="window" lastClr="FFFFFF"/>
      </a:lt1>
      <a:dk2>
        <a:srgbClr val="8439BD"/>
      </a:dk2>
      <a:lt2>
        <a:srgbClr val="FFFFFF"/>
      </a:lt2>
      <a:accent1>
        <a:srgbClr val="0EABB7"/>
      </a:accent1>
      <a:accent2>
        <a:srgbClr val="4868E5"/>
      </a:accent2>
      <a:accent3>
        <a:srgbClr val="20A472"/>
      </a:accent3>
      <a:accent4>
        <a:srgbClr val="B13DC8"/>
      </a:accent4>
      <a:accent5>
        <a:srgbClr val="172DA6"/>
      </a:accent5>
      <a:accent6>
        <a:srgbClr val="00B0F0"/>
      </a:accent6>
      <a:hlink>
        <a:srgbClr val="00B0F0"/>
      </a:hlink>
      <a:folHlink>
        <a:srgbClr val="B036B3"/>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table" Target="../tables/table1.xml"/><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BEAD0-786A-4F3A-BCD3-DA7444CB9941}">
  <dimension ref="A1:BP20"/>
  <sheetViews>
    <sheetView showGridLines="0" tabSelected="1" showRuler="0" zoomScale="61" zoomScaleNormal="100" zoomScalePageLayoutView="70" workbookViewId="0">
      <selection activeCell="BP5" sqref="BP5"/>
    </sheetView>
  </sheetViews>
  <sheetFormatPr baseColWidth="10" defaultColWidth="8.81640625" defaultRowHeight="30" customHeight="1" x14ac:dyDescent="0.35"/>
  <cols>
    <col min="1" max="1" width="4.7265625" style="3" customWidth="1"/>
    <col min="2" max="2" width="33.81640625" customWidth="1"/>
    <col min="3" max="3" width="14.7265625" customWidth="1"/>
    <col min="4" max="4" width="20.54296875" customWidth="1"/>
    <col min="5" max="5" width="15.7265625" customWidth="1"/>
    <col min="6" max="6" width="15.54296875" style="2" customWidth="1"/>
    <col min="7" max="7" width="10.453125" customWidth="1"/>
    <col min="8" max="8" width="2.7265625" customWidth="1"/>
    <col min="9" max="64" width="3.54296875" customWidth="1"/>
    <col min="65" max="65" width="2.7265625" customWidth="1"/>
  </cols>
  <sheetData>
    <row r="1" spans="1:68" ht="25.15" customHeight="1" x14ac:dyDescent="0.35"/>
    <row r="2" spans="1:68" ht="49.9" customHeight="1" x14ac:dyDescent="0.35">
      <c r="A2" s="4"/>
      <c r="B2" s="56" t="s">
        <v>17</v>
      </c>
      <c r="C2" s="56"/>
      <c r="D2" s="56"/>
      <c r="E2" s="56"/>
      <c r="F2" s="56"/>
      <c r="G2" s="56"/>
      <c r="H2" s="56"/>
      <c r="I2" s="57"/>
      <c r="J2" s="57"/>
      <c r="K2" s="57"/>
      <c r="L2" s="57"/>
      <c r="M2" s="57"/>
      <c r="N2" s="57"/>
      <c r="O2" s="58"/>
      <c r="P2" s="58"/>
      <c r="Q2" s="58"/>
      <c r="R2" s="58"/>
      <c r="S2" s="58"/>
      <c r="T2" s="5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c r="BL2" s="18"/>
      <c r="BM2" s="18"/>
    </row>
    <row r="3" spans="1:68" ht="19.899999999999999" customHeight="1" x14ac:dyDescent="0.35">
      <c r="A3" s="4"/>
      <c r="B3" s="19"/>
      <c r="C3" s="20"/>
      <c r="D3" s="21"/>
      <c r="E3" s="21"/>
      <c r="F3" s="22"/>
      <c r="G3" s="21"/>
      <c r="H3" s="21"/>
      <c r="I3" s="35"/>
      <c r="J3" s="1"/>
      <c r="K3" s="1"/>
      <c r="L3" s="1"/>
    </row>
    <row r="4" spans="1:68" ht="30" customHeight="1" x14ac:dyDescent="0.35">
      <c r="A4" s="4"/>
      <c r="B4" s="23" t="s">
        <v>15</v>
      </c>
      <c r="C4" s="24"/>
      <c r="D4" s="25"/>
      <c r="E4" s="26"/>
      <c r="F4" s="27"/>
      <c r="G4" s="28" t="s">
        <v>12</v>
      </c>
      <c r="H4" s="26"/>
      <c r="I4" s="59" t="s">
        <v>8</v>
      </c>
      <c r="J4" s="59"/>
      <c r="K4" s="59"/>
      <c r="L4" s="59"/>
      <c r="M4" s="59"/>
      <c r="O4" s="60" t="s">
        <v>5</v>
      </c>
      <c r="P4" s="60"/>
      <c r="Q4" s="60"/>
      <c r="R4" s="60"/>
      <c r="S4" s="60"/>
      <c r="U4" s="53" t="s">
        <v>6</v>
      </c>
      <c r="V4" s="53"/>
      <c r="W4" s="53"/>
      <c r="X4" s="53"/>
      <c r="Y4" s="53"/>
      <c r="AA4" s="54" t="s">
        <v>7</v>
      </c>
      <c r="AB4" s="54"/>
      <c r="AC4" s="54"/>
      <c r="AD4" s="54"/>
      <c r="AE4" s="54"/>
      <c r="AG4" s="55" t="s">
        <v>14</v>
      </c>
      <c r="AH4" s="55"/>
      <c r="AI4" s="55"/>
      <c r="AJ4" s="55"/>
      <c r="AK4" s="55"/>
    </row>
    <row r="5" spans="1:68" ht="30" customHeight="1" x14ac:dyDescent="0.35">
      <c r="A5" s="4"/>
      <c r="B5" s="29" t="s">
        <v>0</v>
      </c>
      <c r="C5" s="25" t="s">
        <v>16</v>
      </c>
      <c r="D5" s="25"/>
      <c r="E5" s="26"/>
      <c r="F5" s="27"/>
      <c r="G5" s="26"/>
      <c r="H5" s="26"/>
    </row>
    <row r="6" spans="1:68" ht="30" customHeight="1" x14ac:dyDescent="0.5">
      <c r="A6" s="4"/>
      <c r="B6" s="30" t="s">
        <v>1</v>
      </c>
      <c r="C6" s="31" cm="1">
        <f t="array" aca="1" ref="C6" ca="1">IFERROR(IF(MIN(Jalons4352[Début])=0,TODAY(),B11(Jalons4352[Début])),MIN(Jalons4352[[#All],[Début]]))</f>
        <v>46142</v>
      </c>
      <c r="D6" s="32"/>
      <c r="E6" s="26"/>
      <c r="F6" s="27"/>
      <c r="G6" s="26"/>
      <c r="H6" s="26"/>
      <c r="I6" s="38" t="str">
        <f ca="1">TEXT(I7,"mmmm")</f>
        <v>mai</v>
      </c>
      <c r="J6" s="38"/>
      <c r="K6" s="38"/>
      <c r="L6" s="38"/>
      <c r="M6" s="38"/>
      <c r="N6" s="38"/>
      <c r="O6" s="38"/>
      <c r="P6" s="38" t="str">
        <f ca="1">IF(TEXT(P7,"mmmm")=I6,"",TEXT(P7,"mmmm"))</f>
        <v/>
      </c>
      <c r="Q6" s="38"/>
      <c r="R6" s="38"/>
      <c r="S6" s="38"/>
      <c r="T6" s="38"/>
      <c r="U6" s="38"/>
      <c r="V6" s="38"/>
      <c r="W6" s="38" t="str">
        <f ca="1">IF(OR(TEXT(W7,"mmmm")=P6,TEXT(W7,"mmmm")=I6),"",TEXT(W7,"mmmm"))</f>
        <v/>
      </c>
      <c r="X6" s="38"/>
      <c r="Y6" s="38"/>
      <c r="Z6" s="38"/>
      <c r="AA6" s="38"/>
      <c r="AB6" s="38"/>
      <c r="AC6" s="38"/>
      <c r="AD6" s="38" t="str">
        <f ca="1">IF(OR(TEXT(AD7,"mmmm")=W6,TEXT(AD7,"mmmm")=P6,TEXT(AD7,"mmmm")=I6),"",TEXT(AD7,"mmmm"))</f>
        <v/>
      </c>
      <c r="AE6" s="38"/>
      <c r="AF6" s="38"/>
      <c r="AG6" s="38"/>
      <c r="AH6" s="38"/>
      <c r="AI6" s="38"/>
      <c r="AJ6" s="38"/>
      <c r="AK6" s="38" t="str">
        <f ca="1">IF(OR(TEXT(AK7,"mmmm")=AD6,TEXT(AK7,"mmmm")=W6,TEXT(AK7,"mmmm")=P6,TEXT(AK7,"mmmm")=I6),"",TEXT(AK7,"mmmm"))</f>
        <v/>
      </c>
      <c r="AL6" s="38"/>
      <c r="AM6" s="38"/>
      <c r="AN6" s="38"/>
      <c r="AO6" s="38"/>
      <c r="AP6" s="38"/>
      <c r="AQ6" s="38"/>
      <c r="AR6" s="38" t="str">
        <f ca="1">IF(OR(TEXT(AR7,"mmmm")=AK6,TEXT(AR7,"mmmm")=AD6,TEXT(AR7,"mmmm")=W6,TEXT(AR7,"mmmm")=P6),"",TEXT(AR7,"mmmm"))</f>
        <v>juin</v>
      </c>
      <c r="AS6" s="38"/>
      <c r="AT6" s="38"/>
      <c r="AU6" s="38"/>
      <c r="AV6" s="38"/>
      <c r="AW6" s="38"/>
      <c r="AX6" s="39"/>
      <c r="AY6" s="39" t="str">
        <f ca="1">IF(OR(TEXT(AY7,"mmmm")=AR6,TEXT(AY7,"mmmm")=AK6,TEXT(AY7,"mmmm")=AD6,TEXT(AY7,"mmmm")=W6),"",TEXT(AY7,"mmmm"))</f>
        <v/>
      </c>
      <c r="AZ6" s="39"/>
      <c r="BA6" s="39"/>
      <c r="BB6" s="40"/>
      <c r="BC6" s="37"/>
      <c r="BD6" s="37"/>
      <c r="BE6" s="37"/>
      <c r="BF6" s="37" t="str">
        <f ca="1">IF(OR(TEXT(BF7,"mmmm")=AY6,TEXT(BF7,"mmmm")=AR6,TEXT(BF7,"mmmm")=AK6,TEXT(BF7,"mmmm")=AD6),"",TEXT(BF7,"mmmm"))</f>
        <v/>
      </c>
      <c r="BG6" s="37"/>
      <c r="BH6" s="37"/>
      <c r="BI6" s="37"/>
      <c r="BJ6" s="37"/>
      <c r="BK6" s="37"/>
      <c r="BL6" s="37"/>
    </row>
    <row r="7" spans="1:68" ht="30" customHeight="1" x14ac:dyDescent="0.35">
      <c r="A7" s="4"/>
      <c r="B7" s="30" t="s">
        <v>2</v>
      </c>
      <c r="C7" s="33">
        <v>1</v>
      </c>
      <c r="D7" s="25"/>
      <c r="E7" s="26"/>
      <c r="F7" s="26"/>
      <c r="G7" s="26"/>
      <c r="H7" s="34"/>
      <c r="I7" s="45">
        <f ca="1">IFERROR(Début_Projet+Incrément_de_défilement,TODAY())</f>
        <v>46143</v>
      </c>
      <c r="J7" s="46">
        <f ca="1">I7+1</f>
        <v>46144</v>
      </c>
      <c r="K7" s="46">
        <f t="shared" ref="K7:AX7" ca="1" si="0">J7+1</f>
        <v>46145</v>
      </c>
      <c r="L7" s="46">
        <f t="shared" ca="1" si="0"/>
        <v>46146</v>
      </c>
      <c r="M7" s="46">
        <f t="shared" ca="1" si="0"/>
        <v>46147</v>
      </c>
      <c r="N7" s="46">
        <f t="shared" ca="1" si="0"/>
        <v>46148</v>
      </c>
      <c r="O7" s="47">
        <f t="shared" ca="1" si="0"/>
        <v>46149</v>
      </c>
      <c r="P7" s="46">
        <f ca="1">O7+1</f>
        <v>46150</v>
      </c>
      <c r="Q7" s="46">
        <f ca="1">P7+1</f>
        <v>46151</v>
      </c>
      <c r="R7" s="46">
        <f t="shared" ca="1" si="0"/>
        <v>46152</v>
      </c>
      <c r="S7" s="46">
        <f t="shared" ca="1" si="0"/>
        <v>46153</v>
      </c>
      <c r="T7" s="46">
        <f t="shared" ca="1" si="0"/>
        <v>46154</v>
      </c>
      <c r="U7" s="46">
        <f t="shared" ca="1" si="0"/>
        <v>46155</v>
      </c>
      <c r="V7" s="47">
        <f t="shared" ca="1" si="0"/>
        <v>46156</v>
      </c>
      <c r="W7" s="46">
        <f ca="1">V7+1</f>
        <v>46157</v>
      </c>
      <c r="X7" s="46">
        <f ca="1">W7+1</f>
        <v>46158</v>
      </c>
      <c r="Y7" s="46">
        <f t="shared" ca="1" si="0"/>
        <v>46159</v>
      </c>
      <c r="Z7" s="46">
        <f t="shared" ca="1" si="0"/>
        <v>46160</v>
      </c>
      <c r="AA7" s="46">
        <f t="shared" ca="1" si="0"/>
        <v>46161</v>
      </c>
      <c r="AB7" s="46">
        <f t="shared" ca="1" si="0"/>
        <v>46162</v>
      </c>
      <c r="AC7" s="47">
        <f t="shared" ca="1" si="0"/>
        <v>46163</v>
      </c>
      <c r="AD7" s="46">
        <f ca="1">AC7+1</f>
        <v>46164</v>
      </c>
      <c r="AE7" s="46">
        <f ca="1">AD7+1</f>
        <v>46165</v>
      </c>
      <c r="AF7" s="46">
        <f t="shared" ca="1" si="0"/>
        <v>46166</v>
      </c>
      <c r="AG7" s="46">
        <f t="shared" ca="1" si="0"/>
        <v>46167</v>
      </c>
      <c r="AH7" s="46">
        <f t="shared" ca="1" si="0"/>
        <v>46168</v>
      </c>
      <c r="AI7" s="46">
        <f t="shared" ca="1" si="0"/>
        <v>46169</v>
      </c>
      <c r="AJ7" s="47">
        <f t="shared" ca="1" si="0"/>
        <v>46170</v>
      </c>
      <c r="AK7" s="46">
        <f ca="1">AJ7+1</f>
        <v>46171</v>
      </c>
      <c r="AL7" s="46">
        <f ca="1">AK7+1</f>
        <v>46172</v>
      </c>
      <c r="AM7" s="46">
        <f t="shared" ca="1" si="0"/>
        <v>46173</v>
      </c>
      <c r="AN7" s="46">
        <f t="shared" ca="1" si="0"/>
        <v>46174</v>
      </c>
      <c r="AO7" s="46">
        <f t="shared" ca="1" si="0"/>
        <v>46175</v>
      </c>
      <c r="AP7" s="46">
        <f t="shared" ca="1" si="0"/>
        <v>46176</v>
      </c>
      <c r="AQ7" s="47">
        <f t="shared" ca="1" si="0"/>
        <v>46177</v>
      </c>
      <c r="AR7" s="46">
        <f ca="1">AQ7+1</f>
        <v>46178</v>
      </c>
      <c r="AS7" s="46">
        <f ca="1">AR7+1</f>
        <v>46179</v>
      </c>
      <c r="AT7" s="46">
        <f t="shared" ca="1" si="0"/>
        <v>46180</v>
      </c>
      <c r="AU7" s="46">
        <f t="shared" ca="1" si="0"/>
        <v>46181</v>
      </c>
      <c r="AV7" s="46">
        <f t="shared" ca="1" si="0"/>
        <v>46182</v>
      </c>
      <c r="AW7" s="46">
        <f t="shared" ca="1" si="0"/>
        <v>46183</v>
      </c>
      <c r="AX7" s="47">
        <f t="shared" ca="1" si="0"/>
        <v>46184</v>
      </c>
      <c r="AY7" s="46">
        <f ca="1">AX7+1</f>
        <v>46185</v>
      </c>
      <c r="AZ7" s="46">
        <f ca="1">AY7+1</f>
        <v>46186</v>
      </c>
      <c r="BA7" s="46">
        <f t="shared" ref="BA7:BE7" ca="1" si="1">AZ7+1</f>
        <v>46187</v>
      </c>
      <c r="BB7" s="46">
        <f t="shared" ca="1" si="1"/>
        <v>46188</v>
      </c>
      <c r="BC7" s="46">
        <f t="shared" ca="1" si="1"/>
        <v>46189</v>
      </c>
      <c r="BD7" s="46">
        <f t="shared" ca="1" si="1"/>
        <v>46190</v>
      </c>
      <c r="BE7" s="47">
        <f t="shared" ca="1" si="1"/>
        <v>46191</v>
      </c>
      <c r="BF7" s="46">
        <f ca="1">BE7+1</f>
        <v>46192</v>
      </c>
      <c r="BG7" s="46">
        <f ca="1">BF7+1</f>
        <v>46193</v>
      </c>
      <c r="BH7" s="46">
        <f t="shared" ref="BH7:BL7" ca="1" si="2">BG7+1</f>
        <v>46194</v>
      </c>
      <c r="BI7" s="46">
        <f t="shared" ca="1" si="2"/>
        <v>46195</v>
      </c>
      <c r="BJ7" s="46">
        <f t="shared" ca="1" si="2"/>
        <v>46196</v>
      </c>
      <c r="BK7" s="46">
        <f t="shared" ca="1" si="2"/>
        <v>46197</v>
      </c>
      <c r="BL7" s="47">
        <f t="shared" ca="1" si="2"/>
        <v>46198</v>
      </c>
    </row>
    <row r="8" spans="1:68" ht="19.899999999999999" customHeight="1" x14ac:dyDescent="0.35">
      <c r="A8" s="4"/>
      <c r="B8" s="25"/>
      <c r="C8" s="25"/>
      <c r="D8" s="25"/>
      <c r="E8" s="26"/>
      <c r="F8" s="26"/>
      <c r="G8" s="26"/>
      <c r="H8" s="34"/>
      <c r="I8" s="48"/>
      <c r="J8" s="49"/>
      <c r="K8" s="49"/>
      <c r="L8" s="49"/>
      <c r="M8" s="49"/>
      <c r="N8" s="49"/>
      <c r="O8" s="49"/>
      <c r="P8" s="50"/>
      <c r="Q8" s="49"/>
      <c r="R8" s="49"/>
      <c r="S8" s="49"/>
      <c r="T8" s="49"/>
      <c r="U8" s="49"/>
      <c r="V8" s="51"/>
      <c r="W8" s="49"/>
      <c r="X8" s="49"/>
      <c r="Y8" s="49"/>
      <c r="Z8" s="49"/>
      <c r="AA8" s="49"/>
      <c r="AB8" s="49"/>
      <c r="AC8" s="51"/>
      <c r="AD8" s="49"/>
      <c r="AE8" s="49"/>
      <c r="AF8" s="49"/>
      <c r="AG8" s="49"/>
      <c r="AH8" s="49"/>
      <c r="AI8" s="49"/>
      <c r="AJ8" s="51"/>
      <c r="AK8" s="49"/>
      <c r="AL8" s="49"/>
      <c r="AM8" s="49"/>
      <c r="AN8" s="49"/>
      <c r="AO8" s="49"/>
      <c r="AP8" s="49"/>
      <c r="AQ8" s="51"/>
      <c r="AR8" s="49"/>
      <c r="AS8" s="49"/>
      <c r="AT8" s="49"/>
      <c r="AU8" s="49"/>
      <c r="AV8" s="49"/>
      <c r="AW8" s="49"/>
      <c r="AX8" s="51"/>
      <c r="AY8" s="49"/>
      <c r="AZ8" s="49"/>
      <c r="BA8" s="49"/>
      <c r="BB8" s="49"/>
      <c r="BC8" s="49"/>
      <c r="BD8" s="49"/>
      <c r="BE8" s="51"/>
      <c r="BF8" s="49"/>
      <c r="BG8" s="49"/>
      <c r="BH8" s="49"/>
      <c r="BI8" s="49"/>
      <c r="BJ8" s="49"/>
      <c r="BK8" s="49"/>
      <c r="BL8" s="52"/>
    </row>
    <row r="9" spans="1:68" ht="40.15" customHeight="1" x14ac:dyDescent="0.35">
      <c r="A9" s="4"/>
      <c r="B9" s="42" t="s">
        <v>3</v>
      </c>
      <c r="C9" s="43" t="s">
        <v>4</v>
      </c>
      <c r="D9" s="43" t="s">
        <v>9</v>
      </c>
      <c r="E9" s="43" t="s">
        <v>10</v>
      </c>
      <c r="F9" s="43" t="s">
        <v>11</v>
      </c>
      <c r="G9" s="43" t="s">
        <v>13</v>
      </c>
      <c r="H9" s="36"/>
      <c r="I9" s="41" t="str">
        <f t="shared" ref="I9:AN9" ca="1" si="3">LEFT(TEXT(I7,"jjj"),1)</f>
        <v>v</v>
      </c>
      <c r="J9" s="41" t="str">
        <f t="shared" ca="1" si="3"/>
        <v>s</v>
      </c>
      <c r="K9" s="41" t="str">
        <f t="shared" ca="1" si="3"/>
        <v>d</v>
      </c>
      <c r="L9" s="41" t="str">
        <f t="shared" ca="1" si="3"/>
        <v>l</v>
      </c>
      <c r="M9" s="41" t="str">
        <f t="shared" ca="1" si="3"/>
        <v>m</v>
      </c>
      <c r="N9" s="41" t="str">
        <f t="shared" ca="1" si="3"/>
        <v>m</v>
      </c>
      <c r="O9" s="41" t="str">
        <f t="shared" ca="1" si="3"/>
        <v>j</v>
      </c>
      <c r="P9" s="41" t="str">
        <f t="shared" ca="1" si="3"/>
        <v>v</v>
      </c>
      <c r="Q9" s="41" t="str">
        <f t="shared" ca="1" si="3"/>
        <v>s</v>
      </c>
      <c r="R9" s="41" t="str">
        <f t="shared" ca="1" si="3"/>
        <v>d</v>
      </c>
      <c r="S9" s="41" t="str">
        <f t="shared" ca="1" si="3"/>
        <v>l</v>
      </c>
      <c r="T9" s="41" t="str">
        <f t="shared" ca="1" si="3"/>
        <v>m</v>
      </c>
      <c r="U9" s="41" t="str">
        <f t="shared" ca="1" si="3"/>
        <v>m</v>
      </c>
      <c r="V9" s="41" t="str">
        <f t="shared" ca="1" si="3"/>
        <v>j</v>
      </c>
      <c r="W9" s="41" t="str">
        <f t="shared" ca="1" si="3"/>
        <v>v</v>
      </c>
      <c r="X9" s="41" t="str">
        <f t="shared" ca="1" si="3"/>
        <v>s</v>
      </c>
      <c r="Y9" s="41" t="str">
        <f t="shared" ca="1" si="3"/>
        <v>d</v>
      </c>
      <c r="Z9" s="41" t="str">
        <f t="shared" ca="1" si="3"/>
        <v>l</v>
      </c>
      <c r="AA9" s="41" t="str">
        <f t="shared" ca="1" si="3"/>
        <v>m</v>
      </c>
      <c r="AB9" s="41" t="str">
        <f t="shared" ca="1" si="3"/>
        <v>m</v>
      </c>
      <c r="AC9" s="41" t="str">
        <f t="shared" ca="1" si="3"/>
        <v>j</v>
      </c>
      <c r="AD9" s="41" t="str">
        <f t="shared" ca="1" si="3"/>
        <v>v</v>
      </c>
      <c r="AE9" s="41" t="str">
        <f t="shared" ca="1" si="3"/>
        <v>s</v>
      </c>
      <c r="AF9" s="41" t="str">
        <f t="shared" ca="1" si="3"/>
        <v>d</v>
      </c>
      <c r="AG9" s="41" t="str">
        <f t="shared" ca="1" si="3"/>
        <v>l</v>
      </c>
      <c r="AH9" s="41" t="str">
        <f t="shared" ca="1" si="3"/>
        <v>m</v>
      </c>
      <c r="AI9" s="41" t="str">
        <f t="shared" ca="1" si="3"/>
        <v>m</v>
      </c>
      <c r="AJ9" s="41" t="str">
        <f t="shared" ca="1" si="3"/>
        <v>j</v>
      </c>
      <c r="AK9" s="41" t="str">
        <f t="shared" ca="1" si="3"/>
        <v>v</v>
      </c>
      <c r="AL9" s="41" t="str">
        <f t="shared" ca="1" si="3"/>
        <v>s</v>
      </c>
      <c r="AM9" s="41" t="str">
        <f t="shared" ca="1" si="3"/>
        <v>d</v>
      </c>
      <c r="AN9" s="41" t="str">
        <f t="shared" ca="1" si="3"/>
        <v>l</v>
      </c>
      <c r="AO9" s="41" t="str">
        <f t="shared" ref="AO9:BL9" ca="1" si="4">LEFT(TEXT(AO7,"jjj"),1)</f>
        <v>m</v>
      </c>
      <c r="AP9" s="41" t="str">
        <f t="shared" ca="1" si="4"/>
        <v>m</v>
      </c>
      <c r="AQ9" s="41" t="str">
        <f t="shared" ca="1" si="4"/>
        <v>j</v>
      </c>
      <c r="AR9" s="41" t="str">
        <f t="shared" ca="1" si="4"/>
        <v>v</v>
      </c>
      <c r="AS9" s="41" t="str">
        <f t="shared" ca="1" si="4"/>
        <v>s</v>
      </c>
      <c r="AT9" s="41" t="str">
        <f t="shared" ca="1" si="4"/>
        <v>d</v>
      </c>
      <c r="AU9" s="41" t="str">
        <f t="shared" ca="1" si="4"/>
        <v>l</v>
      </c>
      <c r="AV9" s="41" t="str">
        <f t="shared" ca="1" si="4"/>
        <v>m</v>
      </c>
      <c r="AW9" s="41" t="str">
        <f t="shared" ca="1" si="4"/>
        <v>m</v>
      </c>
      <c r="AX9" s="41" t="str">
        <f t="shared" ca="1" si="4"/>
        <v>j</v>
      </c>
      <c r="AY9" s="41" t="str">
        <f t="shared" ca="1" si="4"/>
        <v>v</v>
      </c>
      <c r="AZ9" s="41" t="str">
        <f t="shared" ca="1" si="4"/>
        <v>s</v>
      </c>
      <c r="BA9" s="41" t="str">
        <f t="shared" ca="1" si="4"/>
        <v>d</v>
      </c>
      <c r="BB9" s="41" t="str">
        <f t="shared" ca="1" si="4"/>
        <v>l</v>
      </c>
      <c r="BC9" s="41" t="str">
        <f t="shared" ca="1" si="4"/>
        <v>m</v>
      </c>
      <c r="BD9" s="41" t="str">
        <f t="shared" ca="1" si="4"/>
        <v>m</v>
      </c>
      <c r="BE9" s="41" t="str">
        <f t="shared" ca="1" si="4"/>
        <v>j</v>
      </c>
      <c r="BF9" s="41" t="str">
        <f t="shared" ca="1" si="4"/>
        <v>v</v>
      </c>
      <c r="BG9" s="41" t="str">
        <f t="shared" ca="1" si="4"/>
        <v>s</v>
      </c>
      <c r="BH9" s="41" t="str">
        <f t="shared" ca="1" si="4"/>
        <v>d</v>
      </c>
      <c r="BI9" s="41" t="str">
        <f t="shared" ca="1" si="4"/>
        <v>l</v>
      </c>
      <c r="BJ9" s="41" t="str">
        <f t="shared" ca="1" si="4"/>
        <v>m</v>
      </c>
      <c r="BK9" s="41" t="str">
        <f t="shared" ca="1" si="4"/>
        <v>m</v>
      </c>
      <c r="BL9" s="41" t="str">
        <f t="shared" ca="1" si="4"/>
        <v>j</v>
      </c>
    </row>
    <row r="10" spans="1:68" ht="30" hidden="1" customHeight="1" x14ac:dyDescent="0.35">
      <c r="B10" s="9"/>
      <c r="C10" s="6"/>
      <c r="D10" s="5"/>
      <c r="E10" s="6"/>
      <c r="F10" s="7"/>
      <c r="G10" s="8"/>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c r="BB10" s="11"/>
      <c r="BC10" s="11"/>
      <c r="BD10" s="11"/>
      <c r="BE10" s="11"/>
      <c r="BF10" s="11"/>
      <c r="BG10" s="11"/>
      <c r="BH10" s="11"/>
      <c r="BI10" s="11"/>
      <c r="BJ10" s="11"/>
      <c r="BK10" s="11"/>
      <c r="BL10" s="11"/>
    </row>
    <row r="11" spans="1:68" s="1" customFormat="1" ht="40.15" customHeight="1" x14ac:dyDescent="0.35">
      <c r="A11" s="4"/>
      <c r="B11" s="44" t="s">
        <v>18</v>
      </c>
      <c r="C11" s="13" t="s">
        <v>8</v>
      </c>
      <c r="D11" s="13" t="s">
        <v>21</v>
      </c>
      <c r="E11" s="14">
        <v>0.7</v>
      </c>
      <c r="F11" s="15">
        <v>46142</v>
      </c>
      <c r="G11" s="16">
        <f>F12-Jalons4352[[#This Row],[Début]]</f>
        <v>7</v>
      </c>
      <c r="H11" s="13"/>
      <c r="I11" s="10" t="str">
        <f t="shared" ref="I11:X20" ca="1" si="5">IF(AND($C11="Objectif",I$7&gt;=$F11,I$7&lt;=$F11+$G11-1),2,IF(AND($C11="Jalon",I$7&gt;=$F11,I$7&lt;=$F11+$G11-1),1,""))</f>
        <v/>
      </c>
      <c r="J11" s="10" t="str">
        <f t="shared" ca="1" si="5"/>
        <v/>
      </c>
      <c r="K11" s="10" t="str">
        <f t="shared" ca="1" si="5"/>
        <v/>
      </c>
      <c r="L11" s="10" t="str">
        <f t="shared" ca="1" si="5"/>
        <v/>
      </c>
      <c r="M11" s="10" t="str">
        <f t="shared" ca="1" si="5"/>
        <v/>
      </c>
      <c r="N11" s="10" t="str">
        <f t="shared" ca="1" si="5"/>
        <v/>
      </c>
      <c r="O11" s="10" t="str">
        <f t="shared" ca="1" si="5"/>
        <v/>
      </c>
      <c r="P11" s="10" t="str">
        <f t="shared" ca="1" si="5"/>
        <v/>
      </c>
      <c r="Q11" s="10" t="str">
        <f t="shared" ca="1" si="5"/>
        <v/>
      </c>
      <c r="R11" s="10" t="str">
        <f t="shared" ca="1" si="5"/>
        <v/>
      </c>
      <c r="S11" s="10" t="str">
        <f t="shared" ca="1" si="5"/>
        <v/>
      </c>
      <c r="T11" s="10" t="str">
        <f t="shared" ca="1" si="5"/>
        <v/>
      </c>
      <c r="U11" s="10" t="str">
        <f t="shared" ca="1" si="5"/>
        <v/>
      </c>
      <c r="V11" s="10" t="str">
        <f t="shared" ca="1" si="5"/>
        <v/>
      </c>
      <c r="W11" s="10" t="str">
        <f t="shared" ca="1" si="5"/>
        <v/>
      </c>
      <c r="X11" s="10" t="str">
        <f t="shared" ca="1" si="5"/>
        <v/>
      </c>
      <c r="Y11" s="10" t="str">
        <f t="shared" ref="Y11:AN20" ca="1" si="6">IF(AND($C11="Objectif",Y$7&gt;=$F11,Y$7&lt;=$F11+$G11-1),2,IF(AND($C11="Jalon",Y$7&gt;=$F11,Y$7&lt;=$F11+$G11-1),1,""))</f>
        <v/>
      </c>
      <c r="Z11" s="10" t="str">
        <f t="shared" ca="1" si="6"/>
        <v/>
      </c>
      <c r="AA11" s="10" t="str">
        <f t="shared" ca="1" si="6"/>
        <v/>
      </c>
      <c r="AB11" s="10" t="str">
        <f t="shared" ca="1" si="6"/>
        <v/>
      </c>
      <c r="AC11" s="10" t="str">
        <f t="shared" ca="1" si="6"/>
        <v/>
      </c>
      <c r="AD11" s="10" t="str">
        <f t="shared" ca="1" si="6"/>
        <v/>
      </c>
      <c r="AE11" s="10" t="str">
        <f t="shared" ca="1" si="6"/>
        <v/>
      </c>
      <c r="AF11" s="10" t="str">
        <f t="shared" ca="1" si="6"/>
        <v/>
      </c>
      <c r="AG11" s="10" t="str">
        <f t="shared" ca="1" si="6"/>
        <v/>
      </c>
      <c r="AH11" s="10" t="str">
        <f t="shared" ca="1" si="6"/>
        <v/>
      </c>
      <c r="AI11" s="10" t="str">
        <f t="shared" ca="1" si="6"/>
        <v/>
      </c>
      <c r="AJ11" s="10" t="str">
        <f t="shared" ca="1" si="6"/>
        <v/>
      </c>
      <c r="AK11" s="10" t="str">
        <f t="shared" ca="1" si="6"/>
        <v/>
      </c>
      <c r="AL11" s="10" t="str">
        <f t="shared" ca="1" si="6"/>
        <v/>
      </c>
      <c r="AM11" s="10" t="str">
        <f t="shared" ca="1" si="6"/>
        <v/>
      </c>
      <c r="AN11" s="10" t="str">
        <f t="shared" ca="1" si="6"/>
        <v/>
      </c>
      <c r="AO11" s="10" t="str">
        <f t="shared" ref="AO11:BD20" ca="1" si="7">IF(AND($C11="Objectif",AO$7&gt;=$F11,AO$7&lt;=$F11+$G11-1),2,IF(AND($C11="Jalon",AO$7&gt;=$F11,AO$7&lt;=$F11+$G11-1),1,""))</f>
        <v/>
      </c>
      <c r="AP11" s="10" t="str">
        <f t="shared" ca="1" si="7"/>
        <v/>
      </c>
      <c r="AQ11" s="10" t="str">
        <f t="shared" ca="1" si="7"/>
        <v/>
      </c>
      <c r="AR11" s="10" t="str">
        <f t="shared" ca="1" si="7"/>
        <v/>
      </c>
      <c r="AS11" s="10" t="str">
        <f t="shared" ca="1" si="7"/>
        <v/>
      </c>
      <c r="AT11" s="10" t="str">
        <f t="shared" ca="1" si="7"/>
        <v/>
      </c>
      <c r="AU11" s="10" t="str">
        <f t="shared" ca="1" si="7"/>
        <v/>
      </c>
      <c r="AV11" s="10" t="str">
        <f t="shared" ca="1" si="7"/>
        <v/>
      </c>
      <c r="AW11" s="10" t="str">
        <f t="shared" ca="1" si="7"/>
        <v/>
      </c>
      <c r="AX11" s="10" t="str">
        <f t="shared" ca="1" si="7"/>
        <v/>
      </c>
      <c r="AY11" s="10" t="str">
        <f t="shared" ca="1" si="7"/>
        <v/>
      </c>
      <c r="AZ11" s="10" t="str">
        <f t="shared" ca="1" si="7"/>
        <v/>
      </c>
      <c r="BA11" s="10" t="str">
        <f t="shared" ca="1" si="7"/>
        <v/>
      </c>
      <c r="BB11" s="10" t="str">
        <f t="shared" ca="1" si="7"/>
        <v/>
      </c>
      <c r="BC11" s="10" t="str">
        <f t="shared" ca="1" si="7"/>
        <v/>
      </c>
      <c r="BD11" s="10" t="str">
        <f t="shared" ca="1" si="7"/>
        <v/>
      </c>
      <c r="BE11" s="10" t="str">
        <f t="shared" ref="BE11:BL20" ca="1" si="8">IF(AND($C11="Objectif",BE$7&gt;=$F11,BE$7&lt;=$F11+$G11-1),2,IF(AND($C11="Jalon",BE$7&gt;=$F11,BE$7&lt;=$F11+$G11-1),1,""))</f>
        <v/>
      </c>
      <c r="BF11" s="10" t="str">
        <f t="shared" ca="1" si="8"/>
        <v/>
      </c>
      <c r="BG11" s="10" t="str">
        <f t="shared" ca="1" si="8"/>
        <v/>
      </c>
      <c r="BH11" s="10" t="str">
        <f t="shared" ca="1" si="8"/>
        <v/>
      </c>
      <c r="BI11" s="10" t="str">
        <f t="shared" ca="1" si="8"/>
        <v/>
      </c>
      <c r="BJ11" s="10" t="str">
        <f t="shared" ca="1" si="8"/>
        <v/>
      </c>
      <c r="BK11" s="10" t="str">
        <f t="shared" ca="1" si="8"/>
        <v/>
      </c>
      <c r="BL11" s="10" t="str">
        <f t="shared" ca="1" si="8"/>
        <v/>
      </c>
      <c r="BP11" s="12"/>
    </row>
    <row r="12" spans="1:68" s="1" customFormat="1" ht="40.15" customHeight="1" x14ac:dyDescent="0.35">
      <c r="A12" s="4"/>
      <c r="B12" s="17" t="s">
        <v>19</v>
      </c>
      <c r="C12" s="13" t="s">
        <v>8</v>
      </c>
      <c r="D12" s="13" t="s">
        <v>21</v>
      </c>
      <c r="E12" s="14">
        <v>0.8</v>
      </c>
      <c r="F12" s="15">
        <v>46149</v>
      </c>
      <c r="G12" s="16">
        <f>F13-Jalons4352[[#This Row],[Début]]</f>
        <v>8</v>
      </c>
      <c r="H12" s="13"/>
      <c r="I12" s="10" t="str">
        <f ca="1">IF(AND($C12="Objectif",I$7&gt;=$F12,I$7&lt;=$F12+$G12-1),2,IF(AND($C12="Jalon",I$7&gt;=$F12,I$7&lt;=$F12+$G12-1),1,""))</f>
        <v/>
      </c>
      <c r="J12" s="10" t="str">
        <f t="shared" ca="1" si="5"/>
        <v/>
      </c>
      <c r="K12" s="10" t="str">
        <f t="shared" ca="1" si="5"/>
        <v/>
      </c>
      <c r="L12" s="10" t="str">
        <f t="shared" ca="1" si="5"/>
        <v/>
      </c>
      <c r="M12" s="10" t="str">
        <f t="shared" ca="1" si="5"/>
        <v/>
      </c>
      <c r="N12" s="10" t="str">
        <f t="shared" ca="1" si="5"/>
        <v/>
      </c>
      <c r="O12" s="10" t="str">
        <f t="shared" ca="1" si="5"/>
        <v/>
      </c>
      <c r="P12" s="10" t="str">
        <f t="shared" ca="1" si="5"/>
        <v/>
      </c>
      <c r="Q12" s="10" t="str">
        <f t="shared" ca="1" si="5"/>
        <v/>
      </c>
      <c r="R12" s="10" t="str">
        <f t="shared" ca="1" si="5"/>
        <v/>
      </c>
      <c r="S12" s="10" t="str">
        <f t="shared" ca="1" si="5"/>
        <v/>
      </c>
      <c r="T12" s="10" t="str">
        <f t="shared" ca="1" si="5"/>
        <v/>
      </c>
      <c r="U12" s="10" t="str">
        <f t="shared" ca="1" si="5"/>
        <v/>
      </c>
      <c r="V12" s="10" t="str">
        <f t="shared" ca="1" si="5"/>
        <v/>
      </c>
      <c r="W12" s="10" t="str">
        <f t="shared" ca="1" si="5"/>
        <v/>
      </c>
      <c r="X12" s="10" t="str">
        <f t="shared" ca="1" si="5"/>
        <v/>
      </c>
      <c r="Y12" s="10" t="str">
        <f t="shared" ca="1" si="6"/>
        <v/>
      </c>
      <c r="Z12" s="10" t="str">
        <f t="shared" ca="1" si="6"/>
        <v/>
      </c>
      <c r="AA12" s="10" t="str">
        <f t="shared" ca="1" si="6"/>
        <v/>
      </c>
      <c r="AB12" s="10" t="str">
        <f t="shared" ca="1" si="6"/>
        <v/>
      </c>
      <c r="AC12" s="10" t="str">
        <f t="shared" ca="1" si="6"/>
        <v/>
      </c>
      <c r="AD12" s="10" t="str">
        <f t="shared" ca="1" si="6"/>
        <v/>
      </c>
      <c r="AE12" s="10" t="str">
        <f t="shared" ca="1" si="6"/>
        <v/>
      </c>
      <c r="AF12" s="10" t="str">
        <f t="shared" ca="1" si="6"/>
        <v/>
      </c>
      <c r="AG12" s="10" t="str">
        <f t="shared" ca="1" si="6"/>
        <v/>
      </c>
      <c r="AH12" s="10" t="str">
        <f t="shared" ca="1" si="6"/>
        <v/>
      </c>
      <c r="AI12" s="10" t="str">
        <f t="shared" ca="1" si="6"/>
        <v/>
      </c>
      <c r="AJ12" s="10" t="str">
        <f t="shared" ca="1" si="6"/>
        <v/>
      </c>
      <c r="AK12" s="10" t="str">
        <f t="shared" ca="1" si="6"/>
        <v/>
      </c>
      <c r="AL12" s="10" t="str">
        <f t="shared" ca="1" si="6"/>
        <v/>
      </c>
      <c r="AM12" s="10" t="str">
        <f t="shared" ca="1" si="6"/>
        <v/>
      </c>
      <c r="AN12" s="10" t="str">
        <f t="shared" ca="1" si="6"/>
        <v/>
      </c>
      <c r="AO12" s="10" t="str">
        <f t="shared" ca="1" si="7"/>
        <v/>
      </c>
      <c r="AP12" s="10" t="str">
        <f t="shared" ca="1" si="7"/>
        <v/>
      </c>
      <c r="AQ12" s="10" t="str">
        <f t="shared" ca="1" si="7"/>
        <v/>
      </c>
      <c r="AR12" s="10" t="str">
        <f t="shared" ca="1" si="7"/>
        <v/>
      </c>
      <c r="AS12" s="10" t="str">
        <f t="shared" ca="1" si="7"/>
        <v/>
      </c>
      <c r="AT12" s="10" t="str">
        <f t="shared" ca="1" si="7"/>
        <v/>
      </c>
      <c r="AU12" s="10" t="str">
        <f t="shared" ca="1" si="7"/>
        <v/>
      </c>
      <c r="AV12" s="10" t="str">
        <f t="shared" ca="1" si="7"/>
        <v/>
      </c>
      <c r="AW12" s="10" t="str">
        <f t="shared" ca="1" si="7"/>
        <v/>
      </c>
      <c r="AX12" s="10" t="str">
        <f t="shared" ca="1" si="7"/>
        <v/>
      </c>
      <c r="AY12" s="10" t="str">
        <f t="shared" ca="1" si="7"/>
        <v/>
      </c>
      <c r="AZ12" s="10" t="str">
        <f t="shared" ca="1" si="7"/>
        <v/>
      </c>
      <c r="BA12" s="10" t="str">
        <f t="shared" ca="1" si="7"/>
        <v/>
      </c>
      <c r="BB12" s="10" t="str">
        <f t="shared" ca="1" si="7"/>
        <v/>
      </c>
      <c r="BC12" s="10" t="str">
        <f t="shared" ca="1" si="7"/>
        <v/>
      </c>
      <c r="BD12" s="10" t="str">
        <f t="shared" ca="1" si="7"/>
        <v/>
      </c>
      <c r="BE12" s="10" t="str">
        <f t="shared" ca="1" si="8"/>
        <v/>
      </c>
      <c r="BF12" s="10" t="str">
        <f t="shared" ca="1" si="8"/>
        <v/>
      </c>
      <c r="BG12" s="10" t="str">
        <f t="shared" ca="1" si="8"/>
        <v/>
      </c>
      <c r="BH12" s="10" t="str">
        <f t="shared" ca="1" si="8"/>
        <v/>
      </c>
      <c r="BI12" s="10" t="str">
        <f t="shared" ca="1" si="8"/>
        <v/>
      </c>
      <c r="BJ12" s="10" t="str">
        <f t="shared" ca="1" si="8"/>
        <v/>
      </c>
      <c r="BK12" s="10" t="str">
        <f t="shared" ca="1" si="8"/>
        <v/>
      </c>
      <c r="BL12" s="10" t="str">
        <f t="shared" ca="1" si="8"/>
        <v/>
      </c>
    </row>
    <row r="13" spans="1:68" s="1" customFormat="1" ht="40.15" customHeight="1" x14ac:dyDescent="0.35">
      <c r="A13" s="4"/>
      <c r="B13" s="17" t="s">
        <v>20</v>
      </c>
      <c r="C13" s="13" t="s">
        <v>8</v>
      </c>
      <c r="D13" s="13" t="s">
        <v>21</v>
      </c>
      <c r="E13" s="14">
        <v>0.99</v>
      </c>
      <c r="F13" s="15">
        <v>46157</v>
      </c>
      <c r="G13" s="16">
        <f>F14-Jalons4352[[#This Row],[Début]]</f>
        <v>10</v>
      </c>
      <c r="H13" s="13"/>
      <c r="I13" s="10" t="str">
        <f t="shared" ref="I13:I20" ca="1" si="9">IF(AND($C13="Objectif",I$7&gt;=$F13,I$7&lt;=$F13+$G13-1),2,IF(AND($C13="Jalon",I$7&gt;=$F13,I$7&lt;=$F13+$G13-1),1,""))</f>
        <v/>
      </c>
      <c r="J13" s="10" t="str">
        <f t="shared" ca="1" si="5"/>
        <v/>
      </c>
      <c r="K13" s="10" t="str">
        <f t="shared" ca="1" si="5"/>
        <v/>
      </c>
      <c r="L13" s="10" t="str">
        <f t="shared" ca="1" si="5"/>
        <v/>
      </c>
      <c r="M13" s="10" t="str">
        <f t="shared" ca="1" si="5"/>
        <v/>
      </c>
      <c r="N13" s="10" t="str">
        <f t="shared" ca="1" si="5"/>
        <v/>
      </c>
      <c r="O13" s="10" t="str">
        <f t="shared" ca="1" si="5"/>
        <v/>
      </c>
      <c r="P13" s="10" t="str">
        <f t="shared" ca="1" si="5"/>
        <v/>
      </c>
      <c r="Q13" s="10" t="str">
        <f t="shared" ca="1" si="5"/>
        <v/>
      </c>
      <c r="R13" s="10" t="str">
        <f t="shared" ca="1" si="5"/>
        <v/>
      </c>
      <c r="S13" s="10" t="str">
        <f t="shared" ca="1" si="5"/>
        <v/>
      </c>
      <c r="T13" s="10" t="str">
        <f t="shared" ca="1" si="5"/>
        <v/>
      </c>
      <c r="U13" s="10" t="str">
        <f t="shared" ca="1" si="5"/>
        <v/>
      </c>
      <c r="V13" s="10" t="str">
        <f t="shared" ca="1" si="5"/>
        <v/>
      </c>
      <c r="W13" s="10" t="str">
        <f t="shared" ca="1" si="5"/>
        <v/>
      </c>
      <c r="X13" s="10" t="str">
        <f t="shared" ca="1" si="5"/>
        <v/>
      </c>
      <c r="Y13" s="10" t="str">
        <f t="shared" ca="1" si="6"/>
        <v/>
      </c>
      <c r="Z13" s="10" t="str">
        <f t="shared" ca="1" si="6"/>
        <v/>
      </c>
      <c r="AA13" s="10" t="str">
        <f t="shared" ca="1" si="6"/>
        <v/>
      </c>
      <c r="AB13" s="10" t="str">
        <f t="shared" ca="1" si="6"/>
        <v/>
      </c>
      <c r="AC13" s="10" t="str">
        <f t="shared" ca="1" si="6"/>
        <v/>
      </c>
      <c r="AD13" s="10" t="str">
        <f t="shared" ca="1" si="6"/>
        <v/>
      </c>
      <c r="AE13" s="10" t="str">
        <f t="shared" ca="1" si="6"/>
        <v/>
      </c>
      <c r="AF13" s="10" t="str">
        <f t="shared" ca="1" si="6"/>
        <v/>
      </c>
      <c r="AG13" s="10" t="str">
        <f t="shared" ca="1" si="6"/>
        <v/>
      </c>
      <c r="AH13" s="10" t="str">
        <f t="shared" ca="1" si="6"/>
        <v/>
      </c>
      <c r="AI13" s="10" t="str">
        <f t="shared" ca="1" si="6"/>
        <v/>
      </c>
      <c r="AJ13" s="10" t="str">
        <f t="shared" ca="1" si="6"/>
        <v/>
      </c>
      <c r="AK13" s="10" t="str">
        <f t="shared" ca="1" si="6"/>
        <v/>
      </c>
      <c r="AL13" s="10" t="str">
        <f t="shared" ca="1" si="6"/>
        <v/>
      </c>
      <c r="AM13" s="10" t="str">
        <f t="shared" ca="1" si="6"/>
        <v/>
      </c>
      <c r="AN13" s="10" t="str">
        <f t="shared" ca="1" si="6"/>
        <v/>
      </c>
      <c r="AO13" s="10" t="str">
        <f t="shared" ca="1" si="7"/>
        <v/>
      </c>
      <c r="AP13" s="10" t="str">
        <f t="shared" ca="1" si="7"/>
        <v/>
      </c>
      <c r="AQ13" s="10" t="str">
        <f t="shared" ca="1" si="7"/>
        <v/>
      </c>
      <c r="AR13" s="10" t="str">
        <f t="shared" ca="1" si="7"/>
        <v/>
      </c>
      <c r="AS13" s="10" t="str">
        <f t="shared" ca="1" si="7"/>
        <v/>
      </c>
      <c r="AT13" s="10" t="str">
        <f t="shared" ca="1" si="7"/>
        <v/>
      </c>
      <c r="AU13" s="10" t="str">
        <f t="shared" ca="1" si="7"/>
        <v/>
      </c>
      <c r="AV13" s="10" t="str">
        <f t="shared" ca="1" si="7"/>
        <v/>
      </c>
      <c r="AW13" s="10" t="str">
        <f t="shared" ca="1" si="7"/>
        <v/>
      </c>
      <c r="AX13" s="10" t="str">
        <f t="shared" ca="1" si="7"/>
        <v/>
      </c>
      <c r="AY13" s="10" t="str">
        <f t="shared" ca="1" si="7"/>
        <v/>
      </c>
      <c r="AZ13" s="10" t="str">
        <f t="shared" ca="1" si="7"/>
        <v/>
      </c>
      <c r="BA13" s="10" t="str">
        <f t="shared" ca="1" si="7"/>
        <v/>
      </c>
      <c r="BB13" s="10" t="str">
        <f t="shared" ca="1" si="7"/>
        <v/>
      </c>
      <c r="BC13" s="10" t="str">
        <f t="shared" ca="1" si="7"/>
        <v/>
      </c>
      <c r="BD13" s="10" t="str">
        <f t="shared" ca="1" si="7"/>
        <v/>
      </c>
      <c r="BE13" s="10" t="str">
        <f t="shared" ca="1" si="8"/>
        <v/>
      </c>
      <c r="BF13" s="10" t="str">
        <f t="shared" ca="1" si="8"/>
        <v/>
      </c>
      <c r="BG13" s="10" t="str">
        <f t="shared" ca="1" si="8"/>
        <v/>
      </c>
      <c r="BH13" s="10" t="str">
        <f t="shared" ca="1" si="8"/>
        <v/>
      </c>
      <c r="BI13" s="10" t="str">
        <f t="shared" ca="1" si="8"/>
        <v/>
      </c>
      <c r="BJ13" s="10" t="str">
        <f t="shared" ca="1" si="8"/>
        <v/>
      </c>
      <c r="BK13" s="10" t="str">
        <f t="shared" ca="1" si="8"/>
        <v/>
      </c>
      <c r="BL13" s="10" t="str">
        <f t="shared" ca="1" si="8"/>
        <v/>
      </c>
    </row>
    <row r="14" spans="1:68" s="1" customFormat="1" ht="40.15" customHeight="1" x14ac:dyDescent="0.35">
      <c r="A14" s="3"/>
      <c r="B14" s="17" t="s">
        <v>22</v>
      </c>
      <c r="C14" s="13" t="s">
        <v>8</v>
      </c>
      <c r="D14" s="13" t="s">
        <v>21</v>
      </c>
      <c r="E14" s="14">
        <v>0.8</v>
      </c>
      <c r="F14" s="15">
        <v>46167</v>
      </c>
      <c r="G14" s="16">
        <f>F15-Jalons4352[[#This Row],[Début]]</f>
        <v>9</v>
      </c>
      <c r="H14" s="13"/>
      <c r="I14" s="10" t="str">
        <f t="shared" ca="1" si="9"/>
        <v/>
      </c>
      <c r="J14" s="10" t="str">
        <f t="shared" ca="1" si="5"/>
        <v/>
      </c>
      <c r="K14" s="10" t="str">
        <f t="shared" ca="1" si="5"/>
        <v/>
      </c>
      <c r="L14" s="10" t="str">
        <f t="shared" ca="1" si="5"/>
        <v/>
      </c>
      <c r="M14" s="10" t="str">
        <f t="shared" ca="1" si="5"/>
        <v/>
      </c>
      <c r="N14" s="10" t="str">
        <f t="shared" ca="1" si="5"/>
        <v/>
      </c>
      <c r="O14" s="10" t="str">
        <f t="shared" ca="1" si="5"/>
        <v/>
      </c>
      <c r="P14" s="10" t="str">
        <f t="shared" ca="1" si="5"/>
        <v/>
      </c>
      <c r="Q14" s="10" t="str">
        <f t="shared" ca="1" si="5"/>
        <v/>
      </c>
      <c r="R14" s="10" t="str">
        <f t="shared" ca="1" si="5"/>
        <v/>
      </c>
      <c r="S14" s="10" t="str">
        <f t="shared" ca="1" si="5"/>
        <v/>
      </c>
      <c r="T14" s="10" t="str">
        <f t="shared" ca="1" si="5"/>
        <v/>
      </c>
      <c r="U14" s="10" t="str">
        <f t="shared" ca="1" si="5"/>
        <v/>
      </c>
      <c r="V14" s="10" t="str">
        <f t="shared" ca="1" si="5"/>
        <v/>
      </c>
      <c r="W14" s="10" t="str">
        <f t="shared" ca="1" si="5"/>
        <v/>
      </c>
      <c r="X14" s="10" t="str">
        <f t="shared" ca="1" si="5"/>
        <v/>
      </c>
      <c r="Y14" s="10" t="str">
        <f t="shared" ca="1" si="6"/>
        <v/>
      </c>
      <c r="Z14" s="10" t="str">
        <f t="shared" ca="1" si="6"/>
        <v/>
      </c>
      <c r="AA14" s="10" t="str">
        <f t="shared" ca="1" si="6"/>
        <v/>
      </c>
      <c r="AB14" s="10" t="str">
        <f t="shared" ca="1" si="6"/>
        <v/>
      </c>
      <c r="AC14" s="10" t="str">
        <f t="shared" ca="1" si="6"/>
        <v/>
      </c>
      <c r="AD14" s="10" t="str">
        <f t="shared" ca="1" si="6"/>
        <v/>
      </c>
      <c r="AE14" s="10" t="str">
        <f t="shared" ca="1" si="6"/>
        <v/>
      </c>
      <c r="AF14" s="10" t="str">
        <f t="shared" ca="1" si="6"/>
        <v/>
      </c>
      <c r="AG14" s="10" t="str">
        <f t="shared" ca="1" si="6"/>
        <v/>
      </c>
      <c r="AH14" s="10" t="str">
        <f t="shared" ca="1" si="6"/>
        <v/>
      </c>
      <c r="AI14" s="10" t="str">
        <f t="shared" ca="1" si="6"/>
        <v/>
      </c>
      <c r="AJ14" s="10" t="str">
        <f t="shared" ca="1" si="6"/>
        <v/>
      </c>
      <c r="AK14" s="10" t="str">
        <f t="shared" ca="1" si="6"/>
        <v/>
      </c>
      <c r="AL14" s="10" t="str">
        <f t="shared" ca="1" si="6"/>
        <v/>
      </c>
      <c r="AM14" s="10" t="str">
        <f t="shared" ca="1" si="6"/>
        <v/>
      </c>
      <c r="AN14" s="10" t="str">
        <f t="shared" ca="1" si="6"/>
        <v/>
      </c>
      <c r="AO14" s="10" t="str">
        <f t="shared" ca="1" si="7"/>
        <v/>
      </c>
      <c r="AP14" s="10" t="str">
        <f t="shared" ca="1" si="7"/>
        <v/>
      </c>
      <c r="AQ14" s="10" t="str">
        <f t="shared" ca="1" si="7"/>
        <v/>
      </c>
      <c r="AR14" s="10" t="str">
        <f t="shared" ca="1" si="7"/>
        <v/>
      </c>
      <c r="AS14" s="10" t="str">
        <f t="shared" ca="1" si="7"/>
        <v/>
      </c>
      <c r="AT14" s="10" t="str">
        <f t="shared" ca="1" si="7"/>
        <v/>
      </c>
      <c r="AU14" s="10" t="str">
        <f t="shared" ca="1" si="7"/>
        <v/>
      </c>
      <c r="AV14" s="10" t="str">
        <f t="shared" ca="1" si="7"/>
        <v/>
      </c>
      <c r="AW14" s="10" t="str">
        <f t="shared" ca="1" si="7"/>
        <v/>
      </c>
      <c r="AX14" s="10" t="str">
        <f t="shared" ca="1" si="7"/>
        <v/>
      </c>
      <c r="AY14" s="10" t="str">
        <f t="shared" ca="1" si="7"/>
        <v/>
      </c>
      <c r="AZ14" s="10" t="str">
        <f t="shared" ca="1" si="7"/>
        <v/>
      </c>
      <c r="BA14" s="10" t="str">
        <f t="shared" ca="1" si="7"/>
        <v/>
      </c>
      <c r="BB14" s="10" t="str">
        <f t="shared" ca="1" si="7"/>
        <v/>
      </c>
      <c r="BC14" s="10" t="str">
        <f t="shared" ca="1" si="7"/>
        <v/>
      </c>
      <c r="BD14" s="10" t="str">
        <f t="shared" ca="1" si="7"/>
        <v/>
      </c>
      <c r="BE14" s="10" t="str">
        <f t="shared" ca="1" si="8"/>
        <v/>
      </c>
      <c r="BF14" s="10" t="str">
        <f t="shared" ca="1" si="8"/>
        <v/>
      </c>
      <c r="BG14" s="10" t="str">
        <f t="shared" ca="1" si="8"/>
        <v/>
      </c>
      <c r="BH14" s="10" t="str">
        <f t="shared" ca="1" si="8"/>
        <v/>
      </c>
      <c r="BI14" s="10" t="str">
        <f t="shared" ca="1" si="8"/>
        <v/>
      </c>
      <c r="BJ14" s="10" t="str">
        <f t="shared" ca="1" si="8"/>
        <v/>
      </c>
      <c r="BK14" s="10" t="str">
        <f t="shared" ca="1" si="8"/>
        <v/>
      </c>
      <c r="BL14" s="10" t="str">
        <f t="shared" ca="1" si="8"/>
        <v/>
      </c>
    </row>
    <row r="15" spans="1:68" s="1" customFormat="1" ht="40.15" customHeight="1" x14ac:dyDescent="0.35">
      <c r="A15" s="3"/>
      <c r="B15" s="17" t="s">
        <v>23</v>
      </c>
      <c r="C15" s="13" t="s">
        <v>8</v>
      </c>
      <c r="D15" s="13" t="s">
        <v>21</v>
      </c>
      <c r="E15" s="14">
        <v>0.8</v>
      </c>
      <c r="F15" s="15">
        <v>46176</v>
      </c>
      <c r="G15" s="16">
        <f>F16-Jalons4352[[#This Row],[Début]]</f>
        <v>5</v>
      </c>
      <c r="H15" s="13"/>
      <c r="I15" s="10" t="str">
        <f t="shared" ca="1" si="9"/>
        <v/>
      </c>
      <c r="J15" s="10" t="str">
        <f t="shared" ca="1" si="5"/>
        <v/>
      </c>
      <c r="K15" s="10" t="str">
        <f t="shared" ca="1" si="5"/>
        <v/>
      </c>
      <c r="L15" s="10" t="str">
        <f t="shared" ca="1" si="5"/>
        <v/>
      </c>
      <c r="M15" s="10" t="str">
        <f t="shared" ca="1" si="5"/>
        <v/>
      </c>
      <c r="N15" s="10" t="str">
        <f t="shared" ca="1" si="5"/>
        <v/>
      </c>
      <c r="O15" s="10" t="str">
        <f t="shared" ca="1" si="5"/>
        <v/>
      </c>
      <c r="P15" s="10" t="str">
        <f t="shared" ca="1" si="5"/>
        <v/>
      </c>
      <c r="Q15" s="10" t="str">
        <f t="shared" ca="1" si="5"/>
        <v/>
      </c>
      <c r="R15" s="10" t="str">
        <f t="shared" ca="1" si="5"/>
        <v/>
      </c>
      <c r="S15" s="10" t="str">
        <f t="shared" ca="1" si="5"/>
        <v/>
      </c>
      <c r="T15" s="10" t="str">
        <f t="shared" ca="1" si="5"/>
        <v/>
      </c>
      <c r="U15" s="10" t="str">
        <f t="shared" ca="1" si="5"/>
        <v/>
      </c>
      <c r="V15" s="10" t="str">
        <f t="shared" ca="1" si="5"/>
        <v/>
      </c>
      <c r="W15" s="10" t="str">
        <f t="shared" ca="1" si="5"/>
        <v/>
      </c>
      <c r="X15" s="10" t="str">
        <f t="shared" ca="1" si="5"/>
        <v/>
      </c>
      <c r="Y15" s="10" t="str">
        <f t="shared" ca="1" si="6"/>
        <v/>
      </c>
      <c r="Z15" s="10" t="str">
        <f t="shared" ca="1" si="6"/>
        <v/>
      </c>
      <c r="AA15" s="10" t="str">
        <f t="shared" ca="1" si="6"/>
        <v/>
      </c>
      <c r="AB15" s="10" t="str">
        <f t="shared" ca="1" si="6"/>
        <v/>
      </c>
      <c r="AC15" s="10" t="str">
        <f t="shared" ca="1" si="6"/>
        <v/>
      </c>
      <c r="AD15" s="10" t="str">
        <f t="shared" ca="1" si="6"/>
        <v/>
      </c>
      <c r="AE15" s="10" t="str">
        <f t="shared" ca="1" si="6"/>
        <v/>
      </c>
      <c r="AF15" s="10" t="str">
        <f t="shared" ca="1" si="6"/>
        <v/>
      </c>
      <c r="AG15" s="10" t="str">
        <f t="shared" ca="1" si="6"/>
        <v/>
      </c>
      <c r="AH15" s="10" t="str">
        <f t="shared" ca="1" si="6"/>
        <v/>
      </c>
      <c r="AI15" s="10" t="str">
        <f t="shared" ca="1" si="6"/>
        <v/>
      </c>
      <c r="AJ15" s="10" t="str">
        <f t="shared" ca="1" si="6"/>
        <v/>
      </c>
      <c r="AK15" s="10" t="str">
        <f t="shared" ca="1" si="6"/>
        <v/>
      </c>
      <c r="AL15" s="10" t="str">
        <f t="shared" ca="1" si="6"/>
        <v/>
      </c>
      <c r="AM15" s="10" t="str">
        <f t="shared" ca="1" si="6"/>
        <v/>
      </c>
      <c r="AN15" s="10" t="str">
        <f t="shared" ca="1" si="6"/>
        <v/>
      </c>
      <c r="AO15" s="10" t="str">
        <f t="shared" ca="1" si="7"/>
        <v/>
      </c>
      <c r="AP15" s="10" t="str">
        <f t="shared" ca="1" si="7"/>
        <v/>
      </c>
      <c r="AQ15" s="10" t="str">
        <f t="shared" ca="1" si="7"/>
        <v/>
      </c>
      <c r="AR15" s="10" t="str">
        <f t="shared" ca="1" si="7"/>
        <v/>
      </c>
      <c r="AS15" s="10" t="str">
        <f t="shared" ca="1" si="7"/>
        <v/>
      </c>
      <c r="AT15" s="10" t="str">
        <f t="shared" ca="1" si="7"/>
        <v/>
      </c>
      <c r="AU15" s="10" t="str">
        <f t="shared" ca="1" si="7"/>
        <v/>
      </c>
      <c r="AV15" s="10" t="str">
        <f t="shared" ca="1" si="7"/>
        <v/>
      </c>
      <c r="AW15" s="10" t="str">
        <f t="shared" ca="1" si="7"/>
        <v/>
      </c>
      <c r="AX15" s="10" t="str">
        <f t="shared" ca="1" si="7"/>
        <v/>
      </c>
      <c r="AY15" s="10" t="str">
        <f t="shared" ca="1" si="7"/>
        <v/>
      </c>
      <c r="AZ15" s="10" t="str">
        <f t="shared" ca="1" si="7"/>
        <v/>
      </c>
      <c r="BA15" s="10" t="str">
        <f t="shared" ca="1" si="7"/>
        <v/>
      </c>
      <c r="BB15" s="10" t="str">
        <f t="shared" ca="1" si="7"/>
        <v/>
      </c>
      <c r="BC15" s="10" t="str">
        <f t="shared" ca="1" si="7"/>
        <v/>
      </c>
      <c r="BD15" s="10" t="str">
        <f t="shared" ca="1" si="7"/>
        <v/>
      </c>
      <c r="BE15" s="10" t="str">
        <f t="shared" ca="1" si="8"/>
        <v/>
      </c>
      <c r="BF15" s="10" t="str">
        <f t="shared" ca="1" si="8"/>
        <v/>
      </c>
      <c r="BG15" s="10" t="str">
        <f t="shared" ca="1" si="8"/>
        <v/>
      </c>
      <c r="BH15" s="10" t="str">
        <f t="shared" ca="1" si="8"/>
        <v/>
      </c>
      <c r="BI15" s="10" t="str">
        <f t="shared" ca="1" si="8"/>
        <v/>
      </c>
      <c r="BJ15" s="10" t="str">
        <f t="shared" ca="1" si="8"/>
        <v/>
      </c>
      <c r="BK15" s="10" t="str">
        <f t="shared" ca="1" si="8"/>
        <v/>
      </c>
      <c r="BL15" s="10" t="str">
        <f t="shared" ca="1" si="8"/>
        <v/>
      </c>
    </row>
    <row r="16" spans="1:68" s="1" customFormat="1" ht="40.15" customHeight="1" x14ac:dyDescent="0.35">
      <c r="A16" s="3"/>
      <c r="B16" s="17" t="s">
        <v>24</v>
      </c>
      <c r="C16" s="13" t="s">
        <v>8</v>
      </c>
      <c r="D16" s="13" t="s">
        <v>21</v>
      </c>
      <c r="E16" s="14">
        <v>0.85</v>
      </c>
      <c r="F16" s="15">
        <v>46181</v>
      </c>
      <c r="G16" s="16">
        <f>F17-Jalons4352[[#This Row],[Début]]</f>
        <v>4</v>
      </c>
      <c r="H16" s="13"/>
      <c r="I16" s="10"/>
      <c r="J16" s="10"/>
      <c r="K16" s="10"/>
      <c r="L16" s="10"/>
      <c r="M16" s="10"/>
      <c r="N16" s="10"/>
      <c r="O16" s="10"/>
      <c r="P16" s="10"/>
      <c r="Q16" s="10"/>
      <c r="R16" s="10"/>
      <c r="S16" s="10"/>
      <c r="T16" s="10"/>
      <c r="U16" s="10"/>
      <c r="V16" s="10"/>
      <c r="W16" s="10"/>
      <c r="X16" s="10"/>
      <c r="Y16" s="10"/>
      <c r="Z16" s="10"/>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0"/>
      <c r="BC16" s="10"/>
      <c r="BD16" s="10"/>
      <c r="BE16" s="10"/>
      <c r="BF16" s="10"/>
      <c r="BG16" s="10"/>
      <c r="BH16" s="10"/>
      <c r="BI16" s="10"/>
      <c r="BJ16" s="10"/>
      <c r="BK16" s="10"/>
      <c r="BL16" s="10"/>
    </row>
    <row r="17" spans="1:64" s="1" customFormat="1" ht="40.15" customHeight="1" x14ac:dyDescent="0.35">
      <c r="A17" s="3"/>
      <c r="B17" s="17" t="s">
        <v>25</v>
      </c>
      <c r="C17" s="13" t="s">
        <v>5</v>
      </c>
      <c r="D17" s="13" t="s">
        <v>21</v>
      </c>
      <c r="E17" s="14">
        <v>0.15</v>
      </c>
      <c r="F17" s="15">
        <v>46185</v>
      </c>
      <c r="G17" s="16">
        <f>F18-Jalons4352[[#This Row],[Début]]</f>
        <v>2</v>
      </c>
      <c r="H17" s="13"/>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0"/>
      <c r="BC17" s="10"/>
      <c r="BD17" s="10"/>
      <c r="BE17" s="10"/>
      <c r="BF17" s="10"/>
      <c r="BG17" s="10"/>
      <c r="BH17" s="10"/>
      <c r="BI17" s="10"/>
      <c r="BJ17" s="10"/>
      <c r="BK17" s="10"/>
      <c r="BL17" s="10"/>
    </row>
    <row r="18" spans="1:64" s="1" customFormat="1" ht="40.15" customHeight="1" x14ac:dyDescent="0.35">
      <c r="A18" s="3"/>
      <c r="B18" s="17" t="s">
        <v>26</v>
      </c>
      <c r="C18" s="13" t="s">
        <v>5</v>
      </c>
      <c r="D18" s="13" t="s">
        <v>21</v>
      </c>
      <c r="E18" s="14">
        <v>0.3</v>
      </c>
      <c r="F18" s="15">
        <v>46187</v>
      </c>
      <c r="G18" s="16">
        <f>F19-Jalons4352[[#This Row],[Début]]</f>
        <v>4</v>
      </c>
      <c r="H18" s="13"/>
      <c r="I18" s="10"/>
      <c r="J18" s="10"/>
      <c r="K18" s="10"/>
      <c r="L18" s="10"/>
      <c r="M18" s="10"/>
      <c r="N18" s="10"/>
      <c r="O18" s="10"/>
      <c r="P18" s="10"/>
      <c r="Q18" s="10"/>
      <c r="R18" s="10"/>
      <c r="S18" s="10"/>
      <c r="T18" s="10"/>
      <c r="U18" s="10"/>
      <c r="V18" s="10"/>
      <c r="W18" s="10"/>
      <c r="X18" s="10"/>
      <c r="Y18" s="10"/>
      <c r="Z18" s="10"/>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0"/>
      <c r="BC18" s="10"/>
      <c r="BD18" s="10"/>
      <c r="BE18" s="10"/>
      <c r="BF18" s="10"/>
      <c r="BG18" s="10"/>
      <c r="BH18" s="10"/>
      <c r="BI18" s="10"/>
      <c r="BJ18" s="10"/>
      <c r="BK18" s="10"/>
      <c r="BL18" s="10"/>
    </row>
    <row r="19" spans="1:64" s="1" customFormat="1" ht="40.15" customHeight="1" x14ac:dyDescent="0.35">
      <c r="A19" s="3"/>
      <c r="B19" s="17" t="s">
        <v>27</v>
      </c>
      <c r="C19" s="13" t="s">
        <v>5</v>
      </c>
      <c r="D19" s="13" t="s">
        <v>21</v>
      </c>
      <c r="E19" s="14">
        <v>0.2</v>
      </c>
      <c r="F19" s="15">
        <v>46191</v>
      </c>
      <c r="G19" s="16">
        <f>F20-Jalons4352[[#This Row],[Début]]</f>
        <v>4</v>
      </c>
      <c r="H19" s="13"/>
      <c r="I19" s="10"/>
      <c r="J19" s="10"/>
      <c r="K19" s="10"/>
      <c r="L19" s="10"/>
      <c r="M19" s="10"/>
      <c r="N19" s="10"/>
      <c r="O19" s="10"/>
      <c r="P19" s="10"/>
      <c r="Q19" s="10"/>
      <c r="R19" s="10"/>
      <c r="S19" s="10"/>
      <c r="T19" s="10"/>
      <c r="U19" s="10"/>
      <c r="V19" s="10"/>
      <c r="W19" s="10"/>
      <c r="X19" s="10"/>
      <c r="Y19" s="10"/>
      <c r="Z19" s="10"/>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0"/>
      <c r="BC19" s="10"/>
      <c r="BD19" s="10"/>
      <c r="BE19" s="10"/>
      <c r="BF19" s="10"/>
      <c r="BG19" s="10"/>
      <c r="BH19" s="10"/>
      <c r="BI19" s="10"/>
      <c r="BJ19" s="10"/>
      <c r="BK19" s="10"/>
      <c r="BL19" s="10"/>
    </row>
    <row r="20" spans="1:64" s="1" customFormat="1" ht="40.15" customHeight="1" x14ac:dyDescent="0.35">
      <c r="A20" s="3"/>
      <c r="B20" s="17" t="s">
        <v>28</v>
      </c>
      <c r="C20" s="13" t="s">
        <v>5</v>
      </c>
      <c r="D20" s="13" t="s">
        <v>21</v>
      </c>
      <c r="E20" s="14">
        <v>0.4</v>
      </c>
      <c r="F20" s="15">
        <v>46195</v>
      </c>
      <c r="G20" s="16">
        <v>6</v>
      </c>
      <c r="H20" s="13"/>
      <c r="I20" s="10" t="str">
        <f t="shared" ca="1" si="9"/>
        <v/>
      </c>
      <c r="J20" s="10" t="str">
        <f t="shared" ca="1" si="5"/>
        <v/>
      </c>
      <c r="K20" s="10" t="str">
        <f t="shared" ca="1" si="5"/>
        <v/>
      </c>
      <c r="L20" s="10" t="str">
        <f t="shared" ca="1" si="5"/>
        <v/>
      </c>
      <c r="M20" s="10" t="str">
        <f t="shared" ca="1" si="5"/>
        <v/>
      </c>
      <c r="N20" s="10" t="str">
        <f t="shared" ca="1" si="5"/>
        <v/>
      </c>
      <c r="O20" s="10" t="str">
        <f t="shared" ca="1" si="5"/>
        <v/>
      </c>
      <c r="P20" s="10" t="str">
        <f t="shared" ca="1" si="5"/>
        <v/>
      </c>
      <c r="Q20" s="10" t="str">
        <f t="shared" ca="1" si="5"/>
        <v/>
      </c>
      <c r="R20" s="10" t="str">
        <f t="shared" ca="1" si="5"/>
        <v/>
      </c>
      <c r="S20" s="10" t="str">
        <f t="shared" ca="1" si="5"/>
        <v/>
      </c>
      <c r="T20" s="10" t="str">
        <f t="shared" ca="1" si="5"/>
        <v/>
      </c>
      <c r="U20" s="10" t="str">
        <f t="shared" ca="1" si="5"/>
        <v/>
      </c>
      <c r="V20" s="10" t="str">
        <f t="shared" ca="1" si="5"/>
        <v/>
      </c>
      <c r="W20" s="10" t="str">
        <f t="shared" ca="1" si="5"/>
        <v/>
      </c>
      <c r="X20" s="10" t="str">
        <f t="shared" ca="1" si="5"/>
        <v/>
      </c>
      <c r="Y20" s="10" t="str">
        <f t="shared" ca="1" si="6"/>
        <v/>
      </c>
      <c r="Z20" s="10" t="str">
        <f t="shared" ca="1" si="6"/>
        <v/>
      </c>
      <c r="AA20" s="10" t="str">
        <f t="shared" ca="1" si="6"/>
        <v/>
      </c>
      <c r="AB20" s="10" t="str">
        <f t="shared" ca="1" si="6"/>
        <v/>
      </c>
      <c r="AC20" s="10" t="str">
        <f t="shared" ca="1" si="6"/>
        <v/>
      </c>
      <c r="AD20" s="10" t="str">
        <f t="shared" ca="1" si="6"/>
        <v/>
      </c>
      <c r="AE20" s="10" t="str">
        <f t="shared" ca="1" si="6"/>
        <v/>
      </c>
      <c r="AF20" s="10" t="str">
        <f t="shared" ca="1" si="6"/>
        <v/>
      </c>
      <c r="AG20" s="10" t="str">
        <f t="shared" ca="1" si="6"/>
        <v/>
      </c>
      <c r="AH20" s="10" t="str">
        <f t="shared" ca="1" si="6"/>
        <v/>
      </c>
      <c r="AI20" s="10" t="str">
        <f t="shared" ca="1" si="6"/>
        <v/>
      </c>
      <c r="AJ20" s="10" t="str">
        <f t="shared" ca="1" si="6"/>
        <v/>
      </c>
      <c r="AK20" s="10" t="str">
        <f t="shared" ca="1" si="6"/>
        <v/>
      </c>
      <c r="AL20" s="10" t="str">
        <f t="shared" ca="1" si="6"/>
        <v/>
      </c>
      <c r="AM20" s="10" t="str">
        <f t="shared" ca="1" si="6"/>
        <v/>
      </c>
      <c r="AN20" s="10" t="str">
        <f t="shared" ca="1" si="6"/>
        <v/>
      </c>
      <c r="AO20" s="10" t="str">
        <f t="shared" ca="1" si="7"/>
        <v/>
      </c>
      <c r="AP20" s="10" t="str">
        <f t="shared" ca="1" si="7"/>
        <v/>
      </c>
      <c r="AQ20" s="10" t="str">
        <f t="shared" ca="1" si="7"/>
        <v/>
      </c>
      <c r="AR20" s="10" t="str">
        <f t="shared" ca="1" si="7"/>
        <v/>
      </c>
      <c r="AS20" s="10" t="str">
        <f t="shared" ca="1" si="7"/>
        <v/>
      </c>
      <c r="AT20" s="10" t="str">
        <f t="shared" ca="1" si="7"/>
        <v/>
      </c>
      <c r="AU20" s="10" t="str">
        <f t="shared" ca="1" si="7"/>
        <v/>
      </c>
      <c r="AV20" s="10" t="str">
        <f t="shared" ca="1" si="7"/>
        <v/>
      </c>
      <c r="AW20" s="10" t="str">
        <f t="shared" ca="1" si="7"/>
        <v/>
      </c>
      <c r="AX20" s="10" t="str">
        <f t="shared" ca="1" si="7"/>
        <v/>
      </c>
      <c r="AY20" s="10" t="str">
        <f t="shared" ca="1" si="7"/>
        <v/>
      </c>
      <c r="AZ20" s="10" t="str">
        <f t="shared" ca="1" si="7"/>
        <v/>
      </c>
      <c r="BA20" s="10" t="str">
        <f t="shared" ca="1" si="7"/>
        <v/>
      </c>
      <c r="BB20" s="10" t="str">
        <f t="shared" ca="1" si="7"/>
        <v/>
      </c>
      <c r="BC20" s="10" t="str">
        <f t="shared" ca="1" si="7"/>
        <v/>
      </c>
      <c r="BD20" s="10" t="str">
        <f t="shared" ca="1" si="7"/>
        <v/>
      </c>
      <c r="BE20" s="10" t="str">
        <f t="shared" ca="1" si="8"/>
        <v/>
      </c>
      <c r="BF20" s="10" t="str">
        <f t="shared" ca="1" si="8"/>
        <v/>
      </c>
      <c r="BG20" s="10" t="str">
        <f t="shared" ca="1" si="8"/>
        <v/>
      </c>
      <c r="BH20" s="10" t="str">
        <f t="shared" ca="1" si="8"/>
        <v/>
      </c>
      <c r="BI20" s="10" t="str">
        <f t="shared" ca="1" si="8"/>
        <v/>
      </c>
      <c r="BJ20" s="10" t="str">
        <f t="shared" ca="1" si="8"/>
        <v/>
      </c>
      <c r="BK20" s="10" t="str">
        <f t="shared" ca="1" si="8"/>
        <v/>
      </c>
      <c r="BL20" s="10" t="str">
        <f t="shared" ca="1" si="8"/>
        <v/>
      </c>
    </row>
  </sheetData>
  <mergeCells count="8">
    <mergeCell ref="U4:Y4"/>
    <mergeCell ref="AA4:AE4"/>
    <mergeCell ref="AG4:AK4"/>
    <mergeCell ref="B2:H2"/>
    <mergeCell ref="I2:N2"/>
    <mergeCell ref="O2:T2"/>
    <mergeCell ref="I4:M4"/>
    <mergeCell ref="O4:S4"/>
  </mergeCells>
  <conditionalFormatting sqref="E9:E20">
    <cfRule type="dataBar" priority="5">
      <dataBar>
        <cfvo type="num" val="0"/>
        <cfvo type="num" val="1"/>
        <color theme="6"/>
      </dataBar>
      <extLst>
        <ext xmlns:x14="http://schemas.microsoft.com/office/spreadsheetml/2009/9/main" uri="{B025F937-C7B1-47D3-B67F-A62EFF666E3E}">
          <x14:id>{E8416024-553A-4557-9805-628B358112C1}</x14:id>
        </ext>
      </extLst>
    </cfRule>
  </conditionalFormatting>
  <conditionalFormatting sqref="I6:AM6">
    <cfRule type="expression" dxfId="8" priority="4">
      <formula>I$7&lt;=EOMONTH($I$7,0)</formula>
    </cfRule>
  </conditionalFormatting>
  <conditionalFormatting sqref="I6:BL6">
    <cfRule type="expression" dxfId="7" priority="2">
      <formula>AND(I$7&lt;=EOMONTH($I$7,1),I$7&gt;EOMONTH($I$7,0))</formula>
    </cfRule>
  </conditionalFormatting>
  <conditionalFormatting sqref="I7:BL20">
    <cfRule type="expression" dxfId="6" priority="1">
      <formula>AND(TODAY()&gt;=I$7,TODAY()&lt;J$7)</formula>
    </cfRule>
  </conditionalFormatting>
  <conditionalFormatting sqref="I10:BL20">
    <cfRule type="expression" dxfId="5" priority="14" stopIfTrue="1">
      <formula>AND($C10="Risque faible",I$7&gt;=$F10,I$7&lt;=$F10+$G10-1)</formula>
    </cfRule>
    <cfRule type="expression" dxfId="4" priority="15" stopIfTrue="1">
      <formula>AND($C10="Risque élevé",I$7&gt;=$F10,I$7&lt;=$F10+$G10-1)</formula>
    </cfRule>
    <cfRule type="expression" dxfId="3" priority="16" stopIfTrue="1">
      <formula>AND($C10="En bonne voie",I$7&gt;=$F10,I$7&lt;=$F10+$G10-1)</formula>
    </cfRule>
    <cfRule type="expression" dxfId="2" priority="17" stopIfTrue="1">
      <formula>AND($C10="Risque moyen",I$7&gt;=$F10,I$7&lt;=$F10+$G10-1)</formula>
    </cfRule>
    <cfRule type="expression" dxfId="1" priority="18" stopIfTrue="1">
      <formula>AND(LEN($C10)=0,I$7&gt;=$F10,I$7&lt;=$F10+$G10-1)</formula>
    </cfRule>
  </conditionalFormatting>
  <conditionalFormatting sqref="J6:BL6">
    <cfRule type="expression" dxfId="0" priority="3">
      <formula>AND(J$7&lt;=EOMONTH($I$7,2),J$7&gt;EOMONTH($I$7,0),J$7&gt;EOMONTH($I$7,1))</formula>
    </cfRule>
  </conditionalFormatting>
  <dataValidations count="11">
    <dataValidation type="whole" operator="greaterThanOrEqual" allowBlank="1" showInputMessage="1" promptTitle="Incrément de défilement" prompt="La modification de ce nombre entraînera la défilement du diagramme de Gantt." sqref="C7" xr:uid="{662A47A0-7258-440E-8D71-BC54CBC9C651}">
      <formula1>0</formula1>
    </dataValidation>
    <dataValidation type="list" allowBlank="1" showInputMessage="1" showErrorMessage="1" sqref="C10 C12:C20" xr:uid="{12A8278F-D51D-4B98-A311-DB5FCD18D214}">
      <formula1>"Objectif,Jalon,En bonne voie, Risque faible, Risque moyen, Risque élevé"</formula1>
    </dataValidation>
    <dataValidation type="list" allowBlank="1" showInputMessage="1" sqref="C11" xr:uid="{218D9212-09C8-4DA2-9014-64503951B170}">
      <formula1>"Objectif,Jalon,En bonne voie, Risque faible, Risque moyen, Risque élevé"</formula1>
    </dataValidation>
    <dataValidation allowBlank="1" showInputMessage="1" showErrorMessage="1" promptTitle="Créer un diagramme de Gantt " prompt="Titre du projet dans B2. _x000a_Utilisation de cette feuille de calcul (usage lecteurs d’écran et auteur du classeur) dans la feuille de calcul À propos._x000a_Continuez la navigation vers le bas de la colonne A pour des instructions supplémentaires." sqref="A2" xr:uid="{E4602294-DCCD-4B4D-A916-B5520C80CF80}"/>
    <dataValidation allowBlank="1" showInputMessage="1" showErrorMessage="1" prompt="Entrez le nom de la société dans la cellule B4._x000a_Une légende se trouve dans les cellules I4 à AC4. L’étiquette Légende se trouve dans la cellule G4." sqref="A4" xr:uid="{162198D7-BB96-453A-BB1C-71A472FB68F5}"/>
    <dataValidation allowBlank="1" showInputMessage="1" showErrorMessage="1" prompt="Nom du chef de projet dans B5. Entrez la date de début du projet dans C6 ou autorisez l’exemple de formule à rechercher la plus petite valeur de date dans la table données de Gantt._x000a_Date de début du projet : l’étiquette se trouve dans B6." sqref="A5" xr:uid="{9BBE640D-6E85-4D9D-AF8E-654ECD5CE97D}"/>
    <dataValidation allowBlank="1" showInputMessage="1" showErrorMessage="1" prompt="Un incrément de défilement se trouve dans C7. _x000a_Mois pour dates de la ligne 7 affichés de I6 à BL6._x000a_Ne pas modifier ces cellules. Elles sont mises à jour automatiquement en fonction de la date de début du projet dans la cellule F6." sqref="A6" xr:uid="{D018285A-B1BB-4604-A67E-E25F048BC864}"/>
    <dataValidation allowBlank="1" showInputMessage="1" showErrorMessage="1" prompt="Les cellules I9 à BL9 contiennent le numéro de jour du mois représenté dans le bloc de cellules au-dessus de chaque cellule de date. Calculated._x000a_Ne pas modifier ces cellules._x000a_" sqref="A7" xr:uid="{1544BB7A-7F3E-469D-9CB6-4B9BACED7ACE}"/>
    <dataValidation allowBlank="1" showInputMessage="1" showErrorMessage="1" prompt="Une barre de défilement se trouve dans les cellules I8 à BL8. _x000a_Pour avancer ou retourner dans la chronologie, entrez la valeur 0 ou une valeur supérieure dans la cellule C7._x000a_Une valeur 0 vous place au début du graphique." sqref="A8" xr:uid="{737D7247-B514-41B2-94CC-2F538E17DE66}"/>
    <dataValidation allowBlank="1" showInputMessage="1" showErrorMessage="1" prompt="Cette ligne contient les en-têtes du planning. Informations de planification dans B9 à G9. Première lettre de chaque jour de la semaine pour la date au-dessus de l’entête de I9 à BL9._x000a_Toute la chronologie de projet est générée automatiquement." sqref="A9" xr:uid="{6AB925DC-9BC9-4EC3-A848-25121289EECD}"/>
    <dataValidation allowBlank="1" showInputMessage="1" showErrorMessage="1" prompt="Informations de projet de B11 à G11. _x000a_Entrez la description du jalon, la progression, la date de début et le nombre de jours, sélectionnez une catégorie et attribuez une personne à la tâche pour que la tâche commence à tracer le diagramme._x000a_" sqref="A11" xr:uid="{77315CCB-C571-42B0-8983-9C17BB04F75F}"/>
  </dataValidations>
  <pageMargins left="0.5" right="0.5" top="0.5" bottom="0.5" header="0.3" footer="0.3"/>
  <pageSetup paperSize="9" fitToHeight="0"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6385" r:id="rId4" name="Barre de défilement 1">
              <controlPr defaultSize="0" autoPict="0" altText="Défiler la barre pour faire défiler la chronologie du projet Gantt.">
                <anchor moveWithCells="1">
                  <from>
                    <xdr:col>8</xdr:col>
                    <xdr:colOff>31750</xdr:colOff>
                    <xdr:row>7</xdr:row>
                    <xdr:rowOff>57150</xdr:rowOff>
                  </from>
                  <to>
                    <xdr:col>63</xdr:col>
                    <xdr:colOff>228600</xdr:colOff>
                    <xdr:row>7</xdr:row>
                    <xdr:rowOff>241300</xdr:rowOff>
                  </to>
                </anchor>
              </controlPr>
            </control>
          </mc:Choice>
        </mc:AlternateContent>
      </controls>
    </mc:Choice>
  </mc:AlternateContent>
  <tableParts count="1">
    <tablePart r:id="rId5"/>
  </tableParts>
  <extLst>
    <ext xmlns:x14="http://schemas.microsoft.com/office/spreadsheetml/2009/9/main" uri="{78C0D931-6437-407d-A8EE-F0AAD7539E65}">
      <x14:conditionalFormattings>
        <x14:conditionalFormatting xmlns:xm="http://schemas.microsoft.com/office/excel/2006/main">
          <x14:cfRule type="dataBar" id="{E8416024-553A-4557-9805-628B358112C1}">
            <x14:dataBar minLength="0" maxLength="100" gradient="0">
              <x14:cfvo type="num">
                <xm:f>0</xm:f>
              </x14:cfvo>
              <x14:cfvo type="num">
                <xm:f>1</xm:f>
              </x14:cfvo>
              <x14:negativeFillColor rgb="FFFF0000"/>
              <x14:axisColor rgb="FF000000"/>
            </x14:dataBar>
          </x14:cfRule>
          <xm:sqref>E9:E20</xm:sqref>
        </x14:conditionalFormatting>
        <x14:conditionalFormatting xmlns:xm="http://schemas.microsoft.com/office/excel/2006/main">
          <x14:cfRule type="iconSet" priority="13" id="{39412BF5-D1E8-4731-95F6-6B0C252D35F8}">
            <x14:iconSet iconSet="3Stars" showValue="0" custom="1">
              <x14:cfvo type="percent">
                <xm:f>0</xm:f>
              </x14:cfvo>
              <x14:cfvo type="num">
                <xm:f>1</xm:f>
              </x14:cfvo>
              <x14:cfvo type="num">
                <xm:f>2</xm:f>
              </x14:cfvo>
              <x14:cfIcon iconSet="NoIcons" iconId="0"/>
              <x14:cfIcon iconSet="3Flags" iconId="1"/>
              <x14:cfIcon iconSet="3Signs" iconId="0"/>
            </x14:iconSet>
          </x14:cfRule>
          <xm:sqref>I10:BL20</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_ip_UnifiedCompliancePolicyProperties xmlns="http://schemas.microsoft.com/sharepoint/v3" xsi:nil="true"/>
    <lcf76f155ced4ddcb4097134ff3c332f xmlns="71af3243-3dd4-4a8d-8c0d-dd76da1f02a5">
      <Terms xmlns="http://schemas.microsoft.com/office/infopath/2007/PartnerControls"/>
    </lcf76f155ced4ddcb4097134ff3c332f>
    <TaxCatchAll xmlns="230e9df3-be65-4c73-a93b-d1236ebd677e"/>
    <MediaServiceKeyPoints xmlns="71af3243-3dd4-4a8d-8c0d-dd76da1f02a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18" ma:contentTypeDescription="Create a new document." ma:contentTypeScope="" ma:versionID="22a266b9fa9a230c5a512669d8b298c3">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eddc33fff6b14141ee5c74a0d29ea6a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2:Status" minOccurs="0"/>
                <xsd:element ref="ns1:_ip_UnifiedCompliancePolicyProperties" minOccurs="0"/>
                <xsd:element ref="ns1:_ip_UnifiedCompliancePolicyUIAction" minOccurs="0"/>
                <xsd:element ref="ns2:Image" minOccurs="0"/>
                <xsd:element ref="ns2: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internalName="MediaServiceOCR" ma:readOnly="true">
      <xsd:simpleType>
        <xsd:restriction base="dms:Note">
          <xsd:maxLength value="255"/>
        </xsd:restriction>
      </xsd:simpleType>
    </xsd:element>
    <xsd:element name="MediaServiceAutoTags" ma:index="11" nillable="true" ma:displayName="MediaServiceAutoTags"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fals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Status" ma:index="19" nillable="true" ma:displayName="Status" ma:default="Not started" ma:format="Dropdown" ma:internalName="Status">
      <xsd:simpleType>
        <xsd:restriction base="dms:Choice">
          <xsd:enumeration value="Not started"/>
          <xsd:enumeration value="In Progress"/>
          <xsd:enumeration value="Completed"/>
        </xsd:restriction>
      </xsd:simpleType>
    </xsd:element>
    <xsd:element name="Image" ma:index="22" nillable="true" ma:displayName="Image" ma:format="Image" ma:internalName="Image">
      <xsd:complexType>
        <xsd:complexContent>
          <xsd:extension base="dms:URL">
            <xsd:sequence>
              <xsd:element name="Url" type="dms:ValidUrl" minOccurs="0" nillable="true"/>
              <xsd:element name="Description" type="xsd:string" nillable="true"/>
            </xsd:sequence>
          </xsd:extension>
        </xsd:complexContent>
      </xsd:complexType>
    </xsd:element>
    <xsd:element name="lcf76f155ced4ddcb4097134ff3c332f" ma:index="24" nillable="true" ma:taxonomy="true" ma:internalName="lcf76f155ced4ddcb4097134ff3c332f" ma:taxonomyFieldName="MediaServiceAITags" ma:displayName="Image Tags" ma:readOnly="false" ma:fieldId="{5cf76f15-5ced-4ddc-b409-7134ff3c332f}" ma:taxonomyMulti="true" ma:sspId="e385fb40-52d4-4fae-9c5b-3e8ff8a5878e" ma:termSetId="09814cd3-568e-4e90-9814-8d621ff8fb84" ma:anchorId="00000000-0000-0000-0000-000000000000"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5" nillable="true" ma:displayName="Taxonomy Catch All Column" ma:hidden="true" ma:list="{3f6bfcbc-3db3-4ae6-bd76-326f0798ad28}" ma:internalName="TaxCatchAll"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A4BA2A8-DB97-40F9-8DB6-154C09C7467C}">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2.xml><?xml version="1.0" encoding="utf-8"?>
<ds:datastoreItem xmlns:ds="http://schemas.openxmlformats.org/officeDocument/2006/customXml" ds:itemID="{39060724-9CA2-4290-8A0C-B53624A594E7}">
  <ds:schemaRefs>
    <ds:schemaRef ds:uri="http://schemas.microsoft.com/sharepoint/v3/contenttype/forms"/>
  </ds:schemaRefs>
</ds:datastoreItem>
</file>

<file path=customXml/itemProps3.xml><?xml version="1.0" encoding="utf-8"?>
<ds:datastoreItem xmlns:ds="http://schemas.openxmlformats.org/officeDocument/2006/customXml" ds:itemID="{75C87518-DD8E-42CD-8DAC-291A323E849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emplate>TM55723235</Template>
  <Application>Microsoft Excel</Application>
  <DocSecurity>0</DocSecurity>
  <ScaleCrop>false</ScaleCrop>
  <HeadingPairs>
    <vt:vector size="4" baseType="variant">
      <vt:variant>
        <vt:lpstr>Feuilles de calcul</vt:lpstr>
      </vt:variant>
      <vt:variant>
        <vt:i4>1</vt:i4>
      </vt:variant>
      <vt:variant>
        <vt:lpstr>Plages nommées</vt:lpstr>
      </vt:variant>
      <vt:variant>
        <vt:i4>3</vt:i4>
      </vt:variant>
    </vt:vector>
  </HeadingPairs>
  <TitlesOfParts>
    <vt:vector size="4" baseType="lpstr">
      <vt:lpstr>Clair</vt:lpstr>
      <vt:lpstr>Clair!Début_Projet</vt:lpstr>
      <vt:lpstr>Clair!Impression_des_titres</vt:lpstr>
      <vt:lpstr>Clair!Incrément_de_défilement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2021-02-17T05:31:39Z</dcterms:created>
  <dcterms:modified xsi:type="dcterms:W3CDTF">2026-06-19T14:39:30Z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