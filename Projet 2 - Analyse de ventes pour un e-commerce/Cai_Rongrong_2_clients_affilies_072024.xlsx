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0793ddbe13bc247/文档/Openclassrooms/Projet2 - Faires une analyse de ventes pour un e-commerce/Output/"/>
    </mc:Choice>
  </mc:AlternateContent>
  <xr:revisionPtr revIDLastSave="226" documentId="8_{FBA19443-5D32-452F-9C79-E52BE9F11587}" xr6:coauthVersionLast="47" xr6:coauthVersionMax="47" xr10:uidLastSave="{B2A0734A-2CE4-4C8C-9976-2A123B0AD103}"/>
  <bookViews>
    <workbookView xWindow="-110" yWindow="-110" windowWidth="19420" windowHeight="1030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op" sheetId="5" r:id="rId4"/>
    <sheet name="Choix graphique" sheetId="4" r:id="rId5"/>
  </sheets>
  <definedNames>
    <definedName name="Plage_crit">'Tableau de bord'!#REF!</definedName>
    <definedName name="Tab_top">Top!$A$1:$B$67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J9" i="1" s="1"/>
  <c r="H8" i="1"/>
  <c r="B68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8" i="5"/>
  <c r="B7" i="5"/>
  <c r="B5" i="5"/>
  <c r="B4" i="5"/>
  <c r="B11" i="5"/>
  <c r="B3" i="5"/>
  <c r="B6" i="5"/>
  <c r="B9" i="5"/>
  <c r="B10" i="5"/>
  <c r="B2" i="5"/>
  <c r="D67" i="5"/>
  <c r="C67" i="5"/>
  <c r="B67" i="5"/>
  <c r="D16" i="1"/>
  <c r="C16" i="1"/>
  <c r="D62" i="5"/>
  <c r="C62" i="5"/>
  <c r="D57" i="5"/>
  <c r="C57" i="5"/>
  <c r="D58" i="5"/>
  <c r="C58" i="5"/>
  <c r="D66" i="5"/>
  <c r="C66" i="5"/>
  <c r="D59" i="5"/>
  <c r="C59" i="5"/>
  <c r="D64" i="5"/>
  <c r="C64" i="5"/>
  <c r="D65" i="5"/>
  <c r="C65" i="5"/>
  <c r="D63" i="5"/>
  <c r="C63" i="5"/>
  <c r="D53" i="5"/>
  <c r="C53" i="5"/>
  <c r="D61" i="5"/>
  <c r="C61" i="5"/>
  <c r="D60" i="5"/>
  <c r="C60" i="5"/>
  <c r="D56" i="5"/>
  <c r="C56" i="5"/>
  <c r="D54" i="5"/>
  <c r="C54" i="5"/>
  <c r="D55" i="5"/>
  <c r="C55" i="5"/>
  <c r="D39" i="5"/>
  <c r="C39" i="5"/>
  <c r="D50" i="5"/>
  <c r="C50" i="5"/>
  <c r="D49" i="5"/>
  <c r="C49" i="5"/>
  <c r="D41" i="5"/>
  <c r="C41" i="5"/>
  <c r="D48" i="5"/>
  <c r="C48" i="5"/>
  <c r="D37" i="5"/>
  <c r="C37" i="5"/>
  <c r="D51" i="5"/>
  <c r="C51" i="5"/>
  <c r="D43" i="5"/>
  <c r="C43" i="5"/>
  <c r="D42" i="5"/>
  <c r="C42" i="5"/>
  <c r="D31" i="5"/>
  <c r="C31" i="5"/>
  <c r="D24" i="5"/>
  <c r="C24" i="5"/>
  <c r="D38" i="5"/>
  <c r="C38" i="5"/>
  <c r="D36" i="5"/>
  <c r="C36" i="5"/>
  <c r="D9" i="5"/>
  <c r="C9" i="5"/>
  <c r="D44" i="5"/>
  <c r="C44" i="5"/>
  <c r="D5" i="5"/>
  <c r="C5" i="5"/>
  <c r="D7" i="5"/>
  <c r="C7" i="5"/>
  <c r="D25" i="5"/>
  <c r="C25" i="5"/>
  <c r="D35" i="5"/>
  <c r="C35" i="5"/>
  <c r="D28" i="5"/>
  <c r="C28" i="5"/>
  <c r="D8" i="5"/>
  <c r="C8" i="5"/>
  <c r="D14" i="5"/>
  <c r="C14" i="5"/>
  <c r="D23" i="5"/>
  <c r="C23" i="5"/>
  <c r="D12" i="5"/>
  <c r="C12" i="5"/>
  <c r="D16" i="5"/>
  <c r="C16" i="5"/>
  <c r="D4" i="5"/>
  <c r="C4" i="5"/>
  <c r="D3" i="5"/>
  <c r="C3" i="5"/>
  <c r="D2" i="5"/>
  <c r="C2" i="5"/>
  <c r="D22" i="5"/>
  <c r="C22" i="5"/>
  <c r="D11" i="5"/>
  <c r="C11" i="5"/>
  <c r="D34" i="5"/>
  <c r="C34" i="5"/>
  <c r="D6" i="5"/>
  <c r="C6" i="5"/>
  <c r="D29" i="5"/>
  <c r="C29" i="5"/>
  <c r="D13" i="5"/>
  <c r="C13" i="5"/>
  <c r="D17" i="5"/>
  <c r="C17" i="5"/>
  <c r="D15" i="5"/>
  <c r="C15" i="5"/>
  <c r="D10" i="5"/>
  <c r="C10" i="5"/>
  <c r="D18" i="5"/>
  <c r="C18" i="5"/>
  <c r="D32" i="5"/>
  <c r="C32" i="5"/>
  <c r="D45" i="5"/>
  <c r="C45" i="5"/>
  <c r="D52" i="5"/>
  <c r="C52" i="5"/>
  <c r="D26" i="5"/>
  <c r="C26" i="5"/>
  <c r="D19" i="5"/>
  <c r="C19" i="5"/>
  <c r="D40" i="5"/>
  <c r="C40" i="5"/>
  <c r="D21" i="5"/>
  <c r="C21" i="5"/>
  <c r="D33" i="5"/>
  <c r="C33" i="5"/>
  <c r="D27" i="5"/>
  <c r="C27" i="5"/>
  <c r="D47" i="5"/>
  <c r="C47" i="5"/>
  <c r="D30" i="5"/>
  <c r="C30" i="5"/>
  <c r="D20" i="5"/>
  <c r="C20" i="5"/>
  <c r="D46" i="5"/>
  <c r="C46" i="5"/>
  <c r="D15" i="1"/>
  <c r="C15" i="1"/>
  <c r="J10" i="1"/>
  <c r="H10" i="1"/>
  <c r="J8" i="1" l="1"/>
  <c r="H11" i="1"/>
  <c r="J11" i="1" s="1"/>
  <c r="D68" i="5"/>
  <c r="C68" i="5"/>
</calcChain>
</file>

<file path=xl/sharedStrings.xml><?xml version="1.0" encoding="utf-8"?>
<sst xmlns="http://schemas.openxmlformats.org/spreadsheetml/2006/main" count="737" uniqueCount="54">
  <si>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</si>
  <si>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</si>
  <si>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</si>
  <si>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</si>
  <si>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</si>
  <si>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</si>
  <si>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</si>
  <si>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</si>
  <si>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</si>
  <si>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</si>
  <si>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</si>
  <si>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</si>
  <si>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</si>
  <si>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</si>
  <si>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</si>
  <si>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</si>
  <si>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</si>
  <si>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</si>
  <si>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</si>
  <si>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</si>
  <si>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</si>
  <si>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</si>
  <si>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</si>
  <si>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</si>
  <si>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</si>
  <si>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</si>
  <si>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</si>
  <si>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</si>
  <si>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</si>
  <si>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</si>
  <si>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</si>
  <si>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Total Somme de Montant</t>
  </si>
  <si>
    <t>Etape 1. Choix des graphiques</t>
  </si>
  <si>
    <t>Proportion des ventes par catégorie de produit </t>
  </si>
  <si>
    <t>Montant des achats des clients (montant du panier) </t>
  </si>
  <si>
    <t>Temps passé par les visiteurs sur le site web (pour les sessions ayant abouti à un achat) </t>
  </si>
  <si>
    <t>Evolution du chiffre d’affaires dans les prochains mois.</t>
  </si>
  <si>
    <t xml:space="preserve">Oui </t>
  </si>
  <si>
    <t>Oui</t>
  </si>
  <si>
    <t xml:space="preserve">Evolution du ratio (nombre d’achats des clients)/(nombre de visites) au cours du temps ; </t>
  </si>
  <si>
    <t>Evolution de la variabilité du temps passé par les visiteurs sur le site web (pour les sessions ayant abouti à un achat)</t>
  </si>
  <si>
    <t xml:space="preserve">Evolutions du chiffre d'affaires ; </t>
  </si>
  <si>
    <t>Evolution du nombre de visites sur le site web au cours du temps ; </t>
  </si>
  <si>
    <t xml:space="preserve">Evolution du nombre d'achats des clients ; </t>
  </si>
  <si>
    <t>Clients</t>
  </si>
  <si>
    <t>Somme Montant</t>
  </si>
  <si>
    <t>Somme montant par nourriture</t>
  </si>
  <si>
    <t>Somme montant par bien de conso.</t>
  </si>
  <si>
    <t>Choix</t>
  </si>
  <si>
    <t>Graphique</t>
  </si>
  <si>
    <t>(Tous)</t>
  </si>
  <si>
    <t>Nombre de ID (achat)</t>
  </si>
  <si>
    <t>Total Nombre de ID (achat)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</si>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</sst>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  <numFmt numFmtId="166" formatCode="0.0%"/>
    <numFmt numFmtId="167" formatCode="_-* #,##0.00\ [$€-40C]_-;\-* #,##0.00\ [$€-40C]_-;_-* &quot;-&quot;??\ [$€-40C]_-;_-@_-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5"/>
      <name val="Calibri"/>
      <family val="2"/>
    </font>
    <font>
      <b/>
      <sz val="14"/>
      <color theme="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DEEAF6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8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6" xfId="0" pivotButton="1" applyBorder="1"/>
    <xf numFmtId="0" fontId="0" fillId="0" borderId="40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1" xfId="0" applyBorder="1"/>
    <xf numFmtId="0" fontId="0" fillId="0" borderId="43" xfId="0" applyBorder="1" applyAlignment="1">
      <alignment horizontal="left"/>
    </xf>
    <xf numFmtId="0" fontId="0" fillId="0" borderId="44" xfId="0" applyBorder="1"/>
    <xf numFmtId="166" fontId="3" fillId="2" borderId="1" xfId="2" applyNumberFormat="1" applyFont="1" applyFill="1" applyBorder="1"/>
    <xf numFmtId="0" fontId="2" fillId="0" borderId="0" xfId="0" applyFont="1"/>
    <xf numFmtId="44" fontId="0" fillId="0" borderId="0" xfId="1" applyFont="1"/>
    <xf numFmtId="167" fontId="0" fillId="0" borderId="0" xfId="0" applyNumberFormat="1"/>
    <xf numFmtId="0" fontId="15" fillId="0" borderId="0" xfId="0" applyFont="1" applyAlignment="1">
      <alignment horizontal="center" vertical="center"/>
    </xf>
    <xf numFmtId="0" fontId="13" fillId="6" borderId="53" xfId="0" applyFont="1" applyFill="1" applyBorder="1" applyAlignment="1">
      <alignment horizontal="left" wrapText="1"/>
    </xf>
    <xf numFmtId="0" fontId="13" fillId="6" borderId="54" xfId="0" applyFont="1" applyFill="1" applyBorder="1" applyAlignment="1">
      <alignment horizontal="left" wrapText="1"/>
    </xf>
    <xf numFmtId="0" fontId="13" fillId="6" borderId="55" xfId="0" applyFont="1" applyFill="1" applyBorder="1" applyAlignment="1">
      <alignment horizontal="left" wrapText="1"/>
    </xf>
    <xf numFmtId="0" fontId="13" fillId="6" borderId="56" xfId="0" applyFont="1" applyFill="1" applyBorder="1" applyAlignment="1">
      <alignment horizontal="center"/>
    </xf>
    <xf numFmtId="0" fontId="13" fillId="6" borderId="57" xfId="0" applyFont="1" applyFill="1" applyBorder="1" applyAlignment="1">
      <alignment horizontal="center"/>
    </xf>
    <xf numFmtId="0" fontId="13" fillId="6" borderId="58" xfId="0" applyFont="1" applyFill="1" applyBorder="1" applyAlignment="1">
      <alignment horizontal="center"/>
    </xf>
    <xf numFmtId="0" fontId="14" fillId="0" borderId="0" xfId="0" applyFont="1"/>
    <xf numFmtId="0" fontId="14" fillId="0" borderId="47" xfId="0" applyFont="1" applyBorder="1" applyAlignment="1">
      <alignment horizontal="center"/>
    </xf>
    <xf numFmtId="167" fontId="3" fillId="2" borderId="1" xfId="0" applyNumberFormat="1" applyFont="1" applyFill="1" applyBorder="1"/>
    <xf numFmtId="0" fontId="15" fillId="2" borderId="1" xfId="0" applyFont="1" applyFill="1" applyBorder="1"/>
    <xf numFmtId="0" fontId="14" fillId="0" borderId="1" xfId="0" applyFont="1" applyBorder="1"/>
    <xf numFmtId="0" fontId="14" fillId="0" borderId="50" xfId="0" applyFont="1" applyBorder="1"/>
    <xf numFmtId="0" fontId="14" fillId="0" borderId="1" xfId="0" applyFont="1" applyBorder="1" applyProtection="1">
      <protection locked="0"/>
    </xf>
    <xf numFmtId="0" fontId="14" fillId="0" borderId="48" xfId="0" applyFont="1" applyBorder="1"/>
    <xf numFmtId="0" fontId="14" fillId="0" borderId="49" xfId="0" applyFont="1" applyBorder="1"/>
    <xf numFmtId="0" fontId="0" fillId="0" borderId="42" xfId="0" applyBorder="1"/>
    <xf numFmtId="0" fontId="0" fillId="0" borderId="42" xfId="0" pivotButton="1" applyBorder="1"/>
    <xf numFmtId="0" fontId="0" fillId="0" borderId="45" xfId="0" applyBorder="1"/>
    <xf numFmtId="0" fontId="0" fillId="0" borderId="43" xfId="0" applyBorder="1"/>
    <xf numFmtId="0" fontId="0" fillId="0" borderId="46" xfId="0" applyBorder="1"/>
    <xf numFmtId="0" fontId="1" fillId="0" borderId="0" xfId="0" applyFont="1"/>
    <xf numFmtId="44" fontId="1" fillId="0" borderId="0" xfId="0" applyNumberFormat="1" applyFont="1"/>
    <xf numFmtId="0" fontId="16" fillId="2" borderId="51" xfId="0" applyFont="1" applyFill="1" applyBorder="1" applyAlignment="1">
      <alignment horizontal="center"/>
    </xf>
    <xf numFmtId="167" fontId="16" fillId="2" borderId="16" xfId="2" applyNumberFormat="1" applyFont="1" applyFill="1" applyBorder="1" applyAlignment="1">
      <alignment horizontal="center"/>
    </xf>
    <xf numFmtId="0" fontId="16" fillId="5" borderId="52" xfId="0" applyFont="1" applyFill="1" applyBorder="1" applyAlignment="1">
      <alignment horizontal="center"/>
    </xf>
    <xf numFmtId="167" fontId="16" fillId="5" borderId="30" xfId="2" applyNumberFormat="1" applyFont="1" applyFill="1" applyBorder="1" applyAlignment="1">
      <alignment horizontal="center"/>
    </xf>
    <xf numFmtId="164" fontId="16" fillId="2" borderId="16" xfId="0" applyNumberFormat="1" applyFont="1" applyFill="1" applyBorder="1" applyAlignment="1">
      <alignment horizontal="center" vertical="center"/>
    </xf>
    <xf numFmtId="164" fontId="16" fillId="5" borderId="16" xfId="0" applyNumberFormat="1" applyFont="1" applyFill="1" applyBorder="1" applyAlignment="1">
      <alignment horizontal="center" vertical="center"/>
    </xf>
    <xf numFmtId="164" fontId="17" fillId="4" borderId="25" xfId="0" applyNumberFormat="1" applyFont="1" applyFill="1" applyBorder="1" applyAlignment="1">
      <alignment horizontal="center" vertical="center"/>
    </xf>
    <xf numFmtId="164" fontId="16" fillId="2" borderId="13" xfId="0" applyNumberFormat="1" applyFont="1" applyFill="1" applyBorder="1" applyAlignment="1">
      <alignment horizontal="center"/>
    </xf>
    <xf numFmtId="164" fontId="16" fillId="5" borderId="17" xfId="0" applyNumberFormat="1" applyFont="1" applyFill="1" applyBorder="1" applyAlignment="1">
      <alignment horizontal="center"/>
    </xf>
    <xf numFmtId="164" fontId="16" fillId="2" borderId="20" xfId="0" applyNumberFormat="1" applyFont="1" applyFill="1" applyBorder="1" applyAlignment="1">
      <alignment horizontal="center"/>
    </xf>
    <xf numFmtId="164" fontId="17" fillId="4" borderId="26" xfId="0" applyNumberFormat="1" applyFont="1" applyFill="1" applyBorder="1" applyAlignment="1">
      <alignment horizontal="center" vertical="center"/>
    </xf>
    <xf numFmtId="164" fontId="16" fillId="7" borderId="16" xfId="0" applyNumberFormat="1" applyFont="1" applyFill="1" applyBorder="1" applyAlignment="1">
      <alignment horizontal="center" vertical="center"/>
    </xf>
    <xf numFmtId="0" fontId="14" fillId="0" borderId="42" xfId="0" applyFont="1" applyBorder="1"/>
    <xf numFmtId="0" fontId="14" fillId="0" borderId="43" xfId="0" applyFont="1" applyBorder="1"/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11" fillId="3" borderId="2" xfId="0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17">
    <dxf>
      <font>
        <b/>
        <i val="0"/>
        <color theme="5"/>
      </font>
    </dxf>
    <dxf>
      <numFmt numFmtId="167" formatCode="_-* #,##0.00\ [$€-40C]_-;\-* #,##0.00\ [$€-40C]_-;_-* &quot;-&quot;??\ [$€-40C]_-;_-@_-"/>
    </dxf>
    <dxf>
      <numFmt numFmtId="167" formatCode="_-* #,##0.00\ [$€-40C]_-;\-* #,##0.00\ [$€-40C]_-;_-* &quot;-&quot;??\ [$€-40C]_-;_-@_-"/>
    </dxf>
    <dxf>
      <numFmt numFmtId="167" formatCode="_-* #,##0.00\ [$€-40C]_-;\-* #,##0.00\ [$€-40C]_-;_-* &quot;-&quot;??\ [$€-40C]_-;_-@_-"/>
    </dxf>
    <dxf>
      <numFmt numFmtId="167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ED7D31"/>
      </font>
    </dxf>
    <dxf>
      <fill>
        <patternFill patternType="solid">
          <fgColor rgb="FFED7D31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4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400" b="1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'Tableau de bord'!$J$6</c:f>
              <c:strCache>
                <c:ptCount val="1"/>
                <c:pt idx="0">
                  <c:v>TOTAL 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7-4299-AA82-E33041EB6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7-4299-AA82-E33041EB6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7-4299-AA82-E33041EB6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bord'!$B$7:$B$10</c15:sqref>
                  </c15:fullRef>
                </c:ext>
              </c:extLst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bord'!$J$7:$J$10</c15:sqref>
                  </c15:fullRef>
                </c:ext>
              </c:extLst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094-435F-A3C4-E274BA76AD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sq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Top!$A$2:$A$11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Top!$D$16:$D$39</c:f>
            </c:numRef>
          </c:val>
          <c:extLst>
            <c:ext xmlns:c16="http://schemas.microsoft.com/office/drawing/2014/chart" uri="{C3380CC4-5D6E-409C-BE32-E72D297353CC}">
              <c16:uniqueId val="{00000002-6233-47BB-93B7-FCD9F1A7925C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Top!$A$2:$A$11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Top!$C$16:$C$39</c:f>
            </c:numRef>
          </c:val>
          <c:extLst>
            <c:ext xmlns:c16="http://schemas.microsoft.com/office/drawing/2014/chart" uri="{C3380CC4-5D6E-409C-BE32-E72D297353CC}">
              <c16:uniqueId val="{00000000-B0C0-41C5-B075-A5F28F4163C4}"/>
            </c:ext>
          </c:extLst>
        </c:ser>
        <c:ser>
          <c:idx val="2"/>
          <c:order val="2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Top!$A$2:$A$11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Top!$D$2:$D$11</c:f>
              <c:numCache>
                <c:formatCode>_-* #\ ##0.00\ [$€-40C]_-;\-* #\ ##0.00\ [$€-40C]_-;_-* "-"??\ [$€-40C]_-;_-@_-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9-4654-8429-1A5C36A6E955}"/>
            </c:ext>
          </c:extLst>
        </c:ser>
        <c:ser>
          <c:idx val="3"/>
          <c:order val="3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Top!$A$2:$A$11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Top!$C$2:$C$11</c:f>
              <c:numCache>
                <c:formatCode>_-* #\ ##0.00\ [$€-40C]_-;\-* #\ ##0.00\ [$€-40C]_-;_-* "-"??\ [$€-40C]_-;_-@_-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9-4654-8429-1A5C36A6E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2163727"/>
        <c:axId val="312163247"/>
        <c:extLst/>
      </c:barChart>
      <c:catAx>
        <c:axId val="31216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ID</a:t>
                </a:r>
                <a:r>
                  <a:rPr lang="fr-FR" sz="1400" b="1" baseline="0">
                    <a:solidFill>
                      <a:sysClr val="windowText" lastClr="000000"/>
                    </a:solidFill>
                  </a:rPr>
                  <a:t>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163247"/>
        <c:crosses val="autoZero"/>
        <c:auto val="1"/>
        <c:lblAlgn val="ctr"/>
        <c:lblOffset val="100"/>
        <c:noMultiLvlLbl val="0"/>
      </c:catAx>
      <c:valAx>
        <c:axId val="3121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Montant des ventes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163727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alpha val="9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7.7135862688739579E-2"/>
                  <c:y val="3.884429827970984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ysClr val="windowText" lastClr="000000"/>
                        </a:solidFill>
                      </a:rPr>
                      <a:t>y = 8,3182x</a:t>
                    </a:r>
                    <a:endParaRPr lang="en-US" sz="14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AA-4F2E-A180-B61D7FB5D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75599"/>
        <c:axId val="306775119"/>
      </c:scatterChart>
      <c:valAx>
        <c:axId val="30677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Temps</a:t>
                </a:r>
                <a:r>
                  <a:rPr lang="fr-FR" sz="1400" b="1" baseline="0">
                    <a:solidFill>
                      <a:sysClr val="windowText" lastClr="000000"/>
                    </a:solidFill>
                  </a:rPr>
                  <a:t> d'achat (min)</a:t>
                </a:r>
                <a:endParaRPr lang="fr-FR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775119"/>
        <c:crosses val="autoZero"/>
        <c:crossBetween val="midCat"/>
      </c:valAx>
      <c:valAx>
        <c:axId val="3067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77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Ventes FEV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92-4AAC-9352-1A1C14BA8B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92-4AAC-9352-1A1C14BA8B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92-4AAC-9352-1A1C14BA8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2-4AAC-9352-1A1C14BA8B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275719</xdr:colOff>
      <xdr:row>20</xdr:row>
      <xdr:rowOff>38102</xdr:rowOff>
    </xdr:from>
    <xdr:ext cx="9869852" cy="4147126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274964</xdr:colOff>
      <xdr:row>45</xdr:row>
      <xdr:rowOff>127000</xdr:rowOff>
    </xdr:from>
    <xdr:to>
      <xdr:col>9</xdr:col>
      <xdr:colOff>784888</xdr:colOff>
      <xdr:row>67</xdr:row>
      <xdr:rowOff>100262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1640941-0470-8539-F188-05E991374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223566</xdr:colOff>
      <xdr:row>71</xdr:row>
      <xdr:rowOff>38485</xdr:rowOff>
    </xdr:from>
    <xdr:to>
      <xdr:col>9</xdr:col>
      <xdr:colOff>836285</xdr:colOff>
      <xdr:row>92</xdr:row>
      <xdr:rowOff>21406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8CA6FF6-FEEB-4021-874A-A4E8CA484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246100</xdr:colOff>
      <xdr:row>95</xdr:row>
      <xdr:rowOff>167106</xdr:rowOff>
    </xdr:from>
    <xdr:to>
      <xdr:col>9</xdr:col>
      <xdr:colOff>813752</xdr:colOff>
      <xdr:row>116</xdr:row>
      <xdr:rowOff>178246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E687160C-4148-45FC-ADFA-80918A07C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255721</xdr:colOff>
      <xdr:row>120</xdr:row>
      <xdr:rowOff>103371</xdr:rowOff>
    </xdr:from>
    <xdr:to>
      <xdr:col>9</xdr:col>
      <xdr:colOff>804131</xdr:colOff>
      <xdr:row>142</xdr:row>
      <xdr:rowOff>29535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06EF391-8CE8-44E8-9832-9F988976A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g CAI" refreshedDate="45508.494617824072" createdVersion="8" refreshedVersion="8" minRefreshableVersion="3" recordCount="660" xr:uid="{8E693EAE-A497-4F28-B993-FE40F45BCAC4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7014D-E4F7-4616-895A-50522051E93D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72" firstHeaderRow="1" firstDataRow="3" firstDataCol="1" rowPageCount="1" colPageCount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axis="axisPage"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omme de Montant" fld="2" baseField="0" baseItem="0"/>
    <dataField name="Nombre de ID (achat)" fld="0" subtotal="count" baseField="0" baseItem="24"/>
  </dataFields>
  <formats count="2">
    <format dxfId="12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C726D-11AA-4A33-B413-CC3103318667}" name="Tableau2" displayName="Tableau2" ref="A1:D68" totalsRowCount="1" headerRowDxfId="10">
  <autoFilter ref="A1:D67" xr:uid="{306C726D-11AA-4A33-B413-CC3103318667}">
    <filterColumn colId="1">
      <colorFilter dxfId="9" cellColor="0"/>
    </filterColumn>
  </autoFilter>
  <sortState xmlns:xlrd2="http://schemas.microsoft.com/office/spreadsheetml/2017/richdata2" ref="A2:D67">
    <sortCondition sortBy="fontColor" ref="B1:B67" dxfId="8"/>
  </sortState>
  <tableColumns count="4">
    <tableColumn id="1" xr3:uid="{5E11E4C5-8932-4E38-AA21-B1C8A03E66DF}" name="Clients" totalsRowLabel="Total" totalsRowDxfId="7"/>
    <tableColumn id="2" xr3:uid="{C74619FE-A711-40F8-AD5B-44E8F67CE6E8}" name="Somme Montant" totalsRowFunction="sum" dataDxfId="6" totalsRowDxfId="5" dataCellStyle="Monétaire">
      <calculatedColumnFormula>SUMIF(Table_1[[#All],[ID client]],Tableau2[[#This Row],[Clients]],Table_1[[#All],[Montant]])</calculatedColumnFormula>
    </tableColumn>
    <tableColumn id="3" xr3:uid="{508F76DC-6EB7-426B-BF32-5D91C8A94332}" name="Somme montant par nourriture" totalsRowFunction="sum" dataDxfId="4" totalsRowDxfId="3">
      <calculatedColumnFormula>SUMIFS(Table_1[[#All],[Montant]],Table_1[[#All],[ID client]],Tableau2[[#This Row],[Clients]],Table_1[[#All],[Categorie]],"nourriture")</calculatedColumnFormula>
    </tableColumn>
    <tableColumn id="4" xr3:uid="{CE5BC27F-7C19-4496-9549-A92AB3346CF1}" name="Somme montant par bien de conso." totalsRowFunction="sum" dataDxfId="2" totalsRowDxfId="1">
      <calculatedColumnFormula>SUMIFS(Table_1[[#All],[Montant]],Table_1[[#All],[ID client]],Tableau2[[#This Row],[Clients]],Table_1[[#All],[Categorie]],"bien de conso.")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tabSelected="1" zoomScale="63" zoomScaleNormal="40" workbookViewId="0">
      <selection activeCell="L14" sqref="L14"/>
    </sheetView>
  </sheetViews>
  <sheetFormatPr baseColWidth="10" defaultColWidth="14.453125" defaultRowHeight="15" customHeight="1" x14ac:dyDescent="0.35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11" width="10.6328125" customWidth="1"/>
    <col min="12" max="12" width="14.36328125" bestFit="1" customWidth="1"/>
    <col min="13" max="26" width="10.6328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 x14ac:dyDescent="0.75">
      <c r="A2" s="1"/>
      <c r="B2" s="88" t="s">
        <v>0</v>
      </c>
      <c r="C2" s="86"/>
      <c r="D2" s="86"/>
      <c r="E2" s="86"/>
      <c r="F2" s="86"/>
      <c r="G2" s="86"/>
      <c r="H2" s="86"/>
      <c r="I2" s="86"/>
      <c r="J2" s="8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/>
      <c r="C6" s="89" t="s">
        <v>1</v>
      </c>
      <c r="D6" s="91" t="s">
        <v>2</v>
      </c>
      <c r="E6" s="91" t="s">
        <v>3</v>
      </c>
      <c r="F6" s="91" t="s">
        <v>4</v>
      </c>
      <c r="G6" s="91" t="s">
        <v>5</v>
      </c>
      <c r="H6" s="93" t="s">
        <v>6</v>
      </c>
      <c r="I6" s="1"/>
      <c r="J6" s="95" t="s">
        <v>7</v>
      </c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thickBot="1" x14ac:dyDescent="0.4">
      <c r="A7" s="1"/>
      <c r="B7" s="1"/>
      <c r="C7" s="90"/>
      <c r="D7" s="92"/>
      <c r="E7" s="92"/>
      <c r="F7" s="92"/>
      <c r="G7" s="92"/>
      <c r="H7" s="94"/>
      <c r="I7" s="1"/>
      <c r="J7" s="96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x14ac:dyDescent="0.4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75">
        <f>SUMIFS(Table_1[[#All],[Montant]],Table_1[[#All],[Categorie]],$B8)</f>
        <v>14763.899999999994</v>
      </c>
      <c r="I8" s="5"/>
      <c r="J8" s="78">
        <f>SUM(C8:H8)</f>
        <v>79290.899999999994</v>
      </c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x14ac:dyDescent="0.4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76">
        <f>SUMIFS(Table_1[[#All],[Montant]],Table_1[[#All],[Categorie]],$B9)</f>
        <v>24898.819999999992</v>
      </c>
      <c r="I9" s="5"/>
      <c r="J9" s="79">
        <f>SUM(C9:H9)</f>
        <v>107400.81999999999</v>
      </c>
      <c r="K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" thickBot="1" x14ac:dyDescent="0.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82">
        <f>SUMIFS(Table_1[[#All],[Montant]],Table_1[[#All],[Categorie]],$B10)</f>
        <v>0</v>
      </c>
      <c r="I10" s="5"/>
      <c r="J10" s="80">
        <f>SUM(C10:H10)</f>
        <v>18055</v>
      </c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4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77">
        <f>SUM(H8:H10)</f>
        <v>39662.719999999987</v>
      </c>
      <c r="I11" s="15"/>
      <c r="J11" s="81">
        <f>SUM(C11:H11)</f>
        <v>204746.71999999997</v>
      </c>
      <c r="K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1"/>
      <c r="B14" s="16" t="s">
        <v>12</v>
      </c>
      <c r="C14" s="17" t="s">
        <v>13</v>
      </c>
      <c r="D14" s="18" t="s">
        <v>14</v>
      </c>
      <c r="E14" s="58"/>
      <c r="F14" s="58"/>
      <c r="G14" s="19"/>
      <c r="H14" s="1"/>
      <c r="I14" s="1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x14ac:dyDescent="0.45">
      <c r="A15" s="1"/>
      <c r="B15" s="20" t="s">
        <v>15</v>
      </c>
      <c r="C15" s="71">
        <f>COUNTIF(Table_1[[#All],[Temps d''achat]],"&lt;4")</f>
        <v>47</v>
      </c>
      <c r="D15" s="72">
        <f>SUMIF(Table_1[[#All],[Temps d''achat]],"&lt;4",Table_1[[#All],[Montant]])</f>
        <v>1562.7299999999998</v>
      </c>
      <c r="E15" s="57"/>
      <c r="F15" s="44"/>
      <c r="G15" s="1"/>
      <c r="H15" s="1"/>
      <c r="I15" s="1"/>
      <c r="J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" thickBot="1" x14ac:dyDescent="0.5">
      <c r="A16" s="1"/>
      <c r="B16" s="21" t="s">
        <v>16</v>
      </c>
      <c r="C16" s="73">
        <f>COUNTIF(Table_1[[#All],[Temps d''achat]],"&gt;9,5")</f>
        <v>91</v>
      </c>
      <c r="D16" s="74">
        <f>SUMIF(Table_1[[#All],[Temps d''achat]],"&gt;9,5",Table_1[[#All],[Montant]])</f>
        <v>7577.3200000000006</v>
      </c>
      <c r="E16" s="57"/>
      <c r="F16" s="4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1"/>
      <c r="B20" s="85" t="s">
        <v>17</v>
      </c>
      <c r="C20" s="86"/>
      <c r="D20" s="86"/>
      <c r="E20" s="86"/>
      <c r="F20" s="86"/>
      <c r="G20" s="86"/>
      <c r="H20" s="86"/>
      <c r="I20" s="86"/>
      <c r="J20" s="8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85" t="s">
        <v>18</v>
      </c>
      <c r="C45" s="86"/>
      <c r="D45" s="86"/>
      <c r="E45" s="86"/>
      <c r="F45" s="86"/>
      <c r="G45" s="86"/>
      <c r="H45" s="86"/>
      <c r="I45" s="86"/>
      <c r="J45" s="8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85" t="s">
        <v>19</v>
      </c>
      <c r="C70" s="86"/>
      <c r="D70" s="86"/>
      <c r="E70" s="86"/>
      <c r="F70" s="86"/>
      <c r="G70" s="86"/>
      <c r="H70" s="86"/>
      <c r="I70" s="86"/>
      <c r="J70" s="8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5">
      <c r="A95" s="1"/>
      <c r="B95" s="85" t="s">
        <v>20</v>
      </c>
      <c r="C95" s="86"/>
      <c r="D95" s="86"/>
      <c r="E95" s="86"/>
      <c r="F95" s="86"/>
      <c r="G95" s="86"/>
      <c r="H95" s="86"/>
      <c r="I95" s="86"/>
      <c r="J95" s="8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thickBot="1" x14ac:dyDescent="0.4">
      <c r="A120" s="1"/>
      <c r="B120" s="85" t="s">
        <v>21</v>
      </c>
      <c r="C120" s="86"/>
      <c r="D120" s="86"/>
      <c r="E120" s="86"/>
      <c r="F120" s="86"/>
      <c r="G120" s="86"/>
      <c r="H120" s="86"/>
      <c r="I120" s="86"/>
      <c r="J120" s="87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22"/>
      <c r="C121" s="1"/>
      <c r="D121" s="1"/>
      <c r="E121" s="1"/>
      <c r="F121" s="1"/>
      <c r="G121" s="1"/>
      <c r="H121" s="1"/>
      <c r="I121" s="1"/>
      <c r="J121" s="23"/>
      <c r="L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22"/>
      <c r="C122" s="1"/>
      <c r="D122" s="1"/>
      <c r="E122" s="1"/>
      <c r="F122" s="1"/>
      <c r="G122" s="1"/>
      <c r="H122" s="1"/>
      <c r="I122" s="1"/>
      <c r="J122" s="23"/>
      <c r="L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22"/>
      <c r="C123" s="1"/>
      <c r="D123" s="1"/>
      <c r="E123" s="1"/>
      <c r="F123" s="1"/>
      <c r="G123" s="1"/>
      <c r="H123" s="1"/>
      <c r="I123" s="1"/>
      <c r="J123" s="23"/>
      <c r="L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22"/>
      <c r="C124" s="1"/>
      <c r="D124" s="1"/>
      <c r="E124" s="1"/>
      <c r="F124" s="1"/>
      <c r="G124" s="1"/>
      <c r="H124" s="1"/>
      <c r="I124" s="1"/>
      <c r="J124" s="23"/>
      <c r="L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22"/>
      <c r="C125" s="1"/>
      <c r="D125" s="1"/>
      <c r="E125" s="1"/>
      <c r="F125" s="1"/>
      <c r="G125" s="1"/>
      <c r="H125" s="1"/>
      <c r="I125" s="1"/>
      <c r="J125" s="23"/>
      <c r="L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22"/>
      <c r="C126" s="1"/>
      <c r="D126" s="1"/>
      <c r="E126" s="1"/>
      <c r="F126" s="1"/>
      <c r="G126" s="1"/>
      <c r="H126" s="1"/>
      <c r="I126" s="1"/>
      <c r="J126" s="23"/>
      <c r="L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22"/>
      <c r="C127" s="1"/>
      <c r="D127" s="1"/>
      <c r="E127" s="1"/>
      <c r="F127" s="1"/>
      <c r="G127" s="1"/>
      <c r="H127" s="1"/>
      <c r="I127" s="1"/>
      <c r="J127" s="23"/>
      <c r="L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22"/>
      <c r="C128" s="1"/>
      <c r="D128" s="1"/>
      <c r="E128" s="1"/>
      <c r="F128" s="1"/>
      <c r="G128" s="1"/>
      <c r="H128" s="1"/>
      <c r="I128" s="1"/>
      <c r="J128" s="23"/>
      <c r="L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22"/>
      <c r="C129" s="1"/>
      <c r="D129" s="1"/>
      <c r="E129" s="1"/>
      <c r="F129" s="1"/>
      <c r="G129" s="1"/>
      <c r="H129" s="1"/>
      <c r="I129" s="1"/>
      <c r="J129" s="2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22"/>
      <c r="C130" s="1"/>
      <c r="D130" s="1"/>
      <c r="E130" s="1"/>
      <c r="F130" s="1"/>
      <c r="G130" s="1"/>
      <c r="H130" s="1"/>
      <c r="I130" s="1"/>
      <c r="J130" s="2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60" zoomScaleNormal="55" workbookViewId="0">
      <selection activeCell="I15" sqref="I15"/>
    </sheetView>
  </sheetViews>
  <sheetFormatPr baseColWidth="10" defaultColWidth="14.453125" defaultRowHeight="15" customHeight="1" x14ac:dyDescent="0.35"/>
  <cols>
    <col min="1" max="1" width="21" bestFit="1" customWidth="1"/>
    <col min="2" max="2" width="23.54296875" bestFit="1" customWidth="1"/>
    <col min="3" max="3" width="9.6328125" bestFit="1" customWidth="1"/>
    <col min="4" max="4" width="18.81640625" bestFit="1" customWidth="1"/>
    <col min="5" max="5" width="9.6328125" bestFit="1" customWidth="1"/>
    <col min="6" max="6" width="22.1796875" bestFit="1" customWidth="1"/>
    <col min="7" max="7" width="23.54296875" bestFit="1" customWidth="1"/>
    <col min="8" max="8" width="22.1796875" bestFit="1" customWidth="1"/>
    <col min="9" max="9" width="26.36328125" bestFit="1" customWidth="1"/>
    <col min="10" max="10" width="23.54296875" bestFit="1" customWidth="1"/>
    <col min="11" max="26" width="10.6328125" customWidth="1"/>
  </cols>
  <sheetData>
    <row r="1" spans="1:9" ht="14.5" x14ac:dyDescent="0.35">
      <c r="A1" s="65" t="s">
        <v>25</v>
      </c>
      <c r="B1" s="64" t="s">
        <v>50</v>
      </c>
      <c r="C1" s="28"/>
      <c r="D1" s="28"/>
      <c r="E1" s="28"/>
      <c r="F1" s="28"/>
      <c r="G1" s="28"/>
    </row>
    <row r="2" spans="1:9" ht="31.5" customHeight="1" x14ac:dyDescent="0.6">
      <c r="A2" s="97" t="s">
        <v>22</v>
      </c>
      <c r="B2" s="86"/>
      <c r="C2" s="86"/>
      <c r="D2" s="86"/>
      <c r="E2" s="86"/>
      <c r="F2" s="86"/>
      <c r="G2" s="86"/>
      <c r="H2" s="86"/>
      <c r="I2" s="87"/>
    </row>
    <row r="3" spans="1:9" ht="14.5" x14ac:dyDescent="0.35">
      <c r="A3" s="33"/>
      <c r="B3" s="37" t="s">
        <v>30</v>
      </c>
      <c r="C3" s="34"/>
      <c r="D3" s="34"/>
      <c r="E3" s="34"/>
      <c r="F3" s="34"/>
      <c r="G3" s="35"/>
    </row>
    <row r="4" spans="1:9" ht="15" customHeight="1" x14ac:dyDescent="0.35">
      <c r="A4" s="36"/>
      <c r="B4" s="33" t="s">
        <v>29</v>
      </c>
      <c r="C4" s="34"/>
      <c r="D4" s="33" t="s">
        <v>51</v>
      </c>
      <c r="E4" s="34"/>
      <c r="F4" s="33" t="s">
        <v>31</v>
      </c>
      <c r="G4" s="38" t="s">
        <v>52</v>
      </c>
    </row>
    <row r="5" spans="1:9" ht="15" customHeight="1" x14ac:dyDescent="0.35">
      <c r="A5" s="37" t="s">
        <v>27</v>
      </c>
      <c r="B5" s="33" t="s">
        <v>8</v>
      </c>
      <c r="C5" s="43" t="s">
        <v>9</v>
      </c>
      <c r="D5" s="33" t="s">
        <v>8</v>
      </c>
      <c r="E5" s="43" t="s">
        <v>9</v>
      </c>
      <c r="F5" s="36"/>
      <c r="G5" s="41"/>
    </row>
    <row r="6" spans="1:9" ht="15" customHeight="1" x14ac:dyDescent="0.35">
      <c r="A6" s="39">
        <v>1</v>
      </c>
      <c r="B6" s="33">
        <v>201.40999999999997</v>
      </c>
      <c r="C6" s="43">
        <v>233.41</v>
      </c>
      <c r="D6" s="33">
        <v>4</v>
      </c>
      <c r="E6" s="43">
        <v>5</v>
      </c>
      <c r="F6" s="33">
        <v>434.82</v>
      </c>
      <c r="G6" s="38">
        <v>9</v>
      </c>
    </row>
    <row r="7" spans="1:9" ht="15" customHeight="1" x14ac:dyDescent="0.35">
      <c r="A7" s="40">
        <v>2</v>
      </c>
      <c r="B7" s="36">
        <v>142.66</v>
      </c>
      <c r="C7" s="66">
        <v>728.96999999999991</v>
      </c>
      <c r="D7" s="36">
        <v>2</v>
      </c>
      <c r="E7" s="66">
        <v>10</v>
      </c>
      <c r="F7" s="36">
        <v>871.63</v>
      </c>
      <c r="G7" s="41">
        <v>12</v>
      </c>
    </row>
    <row r="8" spans="1:9" ht="15" customHeight="1" x14ac:dyDescent="0.35">
      <c r="A8" s="40">
        <v>3</v>
      </c>
      <c r="B8" s="36">
        <v>360.62</v>
      </c>
      <c r="C8" s="66">
        <v>275.13</v>
      </c>
      <c r="D8" s="36">
        <v>5</v>
      </c>
      <c r="E8" s="66">
        <v>4</v>
      </c>
      <c r="F8" s="36">
        <v>635.75000000000011</v>
      </c>
      <c r="G8" s="41">
        <v>9</v>
      </c>
    </row>
    <row r="9" spans="1:9" ht="15" customHeight="1" x14ac:dyDescent="0.35">
      <c r="A9" s="40">
        <v>4</v>
      </c>
      <c r="B9" s="36">
        <v>138.84</v>
      </c>
      <c r="C9" s="66">
        <v>272.82</v>
      </c>
      <c r="D9" s="36">
        <v>2</v>
      </c>
      <c r="E9" s="66">
        <v>4</v>
      </c>
      <c r="F9" s="36">
        <v>411.65999999999997</v>
      </c>
      <c r="G9" s="41">
        <v>6</v>
      </c>
    </row>
    <row r="10" spans="1:9" ht="15" customHeight="1" x14ac:dyDescent="0.35">
      <c r="A10" s="40">
        <v>5</v>
      </c>
      <c r="B10" s="36">
        <v>163.14000000000001</v>
      </c>
      <c r="C10" s="66">
        <v>580.51999999999987</v>
      </c>
      <c r="D10" s="36">
        <v>3</v>
      </c>
      <c r="E10" s="66">
        <v>10</v>
      </c>
      <c r="F10" s="36">
        <v>743.66</v>
      </c>
      <c r="G10" s="41">
        <v>13</v>
      </c>
    </row>
    <row r="11" spans="1:9" ht="15" customHeight="1" x14ac:dyDescent="0.35">
      <c r="A11" s="40">
        <v>6</v>
      </c>
      <c r="B11" s="36">
        <v>338.63000000000005</v>
      </c>
      <c r="C11" s="66">
        <v>248.14</v>
      </c>
      <c r="D11" s="36">
        <v>6</v>
      </c>
      <c r="E11" s="66">
        <v>4</v>
      </c>
      <c r="F11" s="36">
        <v>586.77</v>
      </c>
      <c r="G11" s="41">
        <v>10</v>
      </c>
    </row>
    <row r="12" spans="1:9" ht="15" customHeight="1" x14ac:dyDescent="0.35">
      <c r="A12" s="40">
        <v>7</v>
      </c>
      <c r="B12" s="36">
        <v>536.26999999999987</v>
      </c>
      <c r="C12" s="66">
        <v>320.98999999999995</v>
      </c>
      <c r="D12" s="36">
        <v>8</v>
      </c>
      <c r="E12" s="66">
        <v>8</v>
      </c>
      <c r="F12" s="36">
        <v>857.25999999999976</v>
      </c>
      <c r="G12" s="41">
        <v>16</v>
      </c>
    </row>
    <row r="13" spans="1:9" ht="15" customHeight="1" x14ac:dyDescent="0.35">
      <c r="A13" s="40">
        <v>8</v>
      </c>
      <c r="B13" s="36">
        <v>136.15</v>
      </c>
      <c r="C13" s="66">
        <v>373.76000000000005</v>
      </c>
      <c r="D13" s="36">
        <v>2</v>
      </c>
      <c r="E13" s="66">
        <v>7</v>
      </c>
      <c r="F13" s="36">
        <v>509.91</v>
      </c>
      <c r="G13" s="41">
        <v>9</v>
      </c>
    </row>
    <row r="14" spans="1:9" ht="15" customHeight="1" x14ac:dyDescent="0.35">
      <c r="A14" s="40">
        <v>9</v>
      </c>
      <c r="B14" s="36">
        <v>273.39</v>
      </c>
      <c r="C14" s="66">
        <v>608.84</v>
      </c>
      <c r="D14" s="36">
        <v>5</v>
      </c>
      <c r="E14" s="66">
        <v>11</v>
      </c>
      <c r="F14" s="36">
        <v>882.2299999999999</v>
      </c>
      <c r="G14" s="41">
        <v>16</v>
      </c>
    </row>
    <row r="15" spans="1:9" ht="15" customHeight="1" x14ac:dyDescent="0.35">
      <c r="A15" s="40">
        <v>10</v>
      </c>
      <c r="B15" s="36">
        <v>223.78</v>
      </c>
      <c r="C15" s="66">
        <v>523.89</v>
      </c>
      <c r="D15" s="36">
        <v>5</v>
      </c>
      <c r="E15" s="66">
        <v>10</v>
      </c>
      <c r="F15" s="36">
        <v>747.67000000000007</v>
      </c>
      <c r="G15" s="41">
        <v>15</v>
      </c>
    </row>
    <row r="16" spans="1:9" ht="15" customHeight="1" x14ac:dyDescent="0.35">
      <c r="A16" s="40">
        <v>11</v>
      </c>
      <c r="B16" s="36">
        <v>150.74</v>
      </c>
      <c r="C16" s="66">
        <v>99.86</v>
      </c>
      <c r="D16" s="36">
        <v>3</v>
      </c>
      <c r="E16" s="66">
        <v>2</v>
      </c>
      <c r="F16" s="36">
        <v>250.6</v>
      </c>
      <c r="G16" s="41">
        <v>5</v>
      </c>
    </row>
    <row r="17" spans="1:7" ht="14.5" x14ac:dyDescent="0.35">
      <c r="A17" s="40">
        <v>12</v>
      </c>
      <c r="B17" s="36">
        <v>182.85000000000002</v>
      </c>
      <c r="C17" s="66">
        <v>260.83</v>
      </c>
      <c r="D17" s="36">
        <v>3</v>
      </c>
      <c r="E17" s="66">
        <v>5</v>
      </c>
      <c r="F17" s="36">
        <v>443.68</v>
      </c>
      <c r="G17" s="41">
        <v>8</v>
      </c>
    </row>
    <row r="18" spans="1:7" ht="14.5" x14ac:dyDescent="0.35">
      <c r="A18" s="40">
        <v>13</v>
      </c>
      <c r="B18" s="36">
        <v>284.57</v>
      </c>
      <c r="C18" s="66">
        <v>311.83</v>
      </c>
      <c r="D18" s="36">
        <v>4</v>
      </c>
      <c r="E18" s="66">
        <v>7</v>
      </c>
      <c r="F18" s="36">
        <v>596.4</v>
      </c>
      <c r="G18" s="41">
        <v>11</v>
      </c>
    </row>
    <row r="19" spans="1:7" ht="14.5" x14ac:dyDescent="0.35">
      <c r="A19" s="40">
        <v>14</v>
      </c>
      <c r="B19" s="36">
        <v>273.78000000000003</v>
      </c>
      <c r="C19" s="66">
        <v>612.15000000000009</v>
      </c>
      <c r="D19" s="36">
        <v>4</v>
      </c>
      <c r="E19" s="66">
        <v>10</v>
      </c>
      <c r="F19" s="36">
        <v>885.93000000000018</v>
      </c>
      <c r="G19" s="41">
        <v>14</v>
      </c>
    </row>
    <row r="20" spans="1:7" ht="14.5" x14ac:dyDescent="0.35">
      <c r="A20" s="40">
        <v>15</v>
      </c>
      <c r="B20" s="36">
        <v>190.66</v>
      </c>
      <c r="C20" s="66">
        <v>872.33999999999992</v>
      </c>
      <c r="D20" s="36">
        <v>3</v>
      </c>
      <c r="E20" s="66">
        <v>13</v>
      </c>
      <c r="F20" s="36">
        <v>1063</v>
      </c>
      <c r="G20" s="41">
        <v>16</v>
      </c>
    </row>
    <row r="21" spans="1:7" ht="14.5" x14ac:dyDescent="0.35">
      <c r="A21" s="40">
        <v>16</v>
      </c>
      <c r="B21" s="36">
        <v>378.16</v>
      </c>
      <c r="C21" s="66">
        <v>588.88</v>
      </c>
      <c r="D21" s="36">
        <v>6</v>
      </c>
      <c r="E21" s="66">
        <v>8</v>
      </c>
      <c r="F21" s="36">
        <v>967.04</v>
      </c>
      <c r="G21" s="41">
        <v>14</v>
      </c>
    </row>
    <row r="22" spans="1:7" ht="14.5" x14ac:dyDescent="0.35">
      <c r="A22" s="40">
        <v>17</v>
      </c>
      <c r="B22" s="36">
        <v>125.60999999999999</v>
      </c>
      <c r="C22" s="66">
        <v>783.24999999999989</v>
      </c>
      <c r="D22" s="36">
        <v>3</v>
      </c>
      <c r="E22" s="66">
        <v>13</v>
      </c>
      <c r="F22" s="36">
        <v>908.8599999999999</v>
      </c>
      <c r="G22" s="41">
        <v>16</v>
      </c>
    </row>
    <row r="23" spans="1:7" ht="14.5" x14ac:dyDescent="0.35">
      <c r="A23" s="40">
        <v>18</v>
      </c>
      <c r="B23" s="36">
        <v>531.19000000000005</v>
      </c>
      <c r="C23" s="66">
        <v>483.06</v>
      </c>
      <c r="D23" s="36">
        <v>8</v>
      </c>
      <c r="E23" s="66">
        <v>7</v>
      </c>
      <c r="F23" s="36">
        <v>1014.25</v>
      </c>
      <c r="G23" s="41">
        <v>15</v>
      </c>
    </row>
    <row r="24" spans="1:7" ht="14.5" x14ac:dyDescent="0.35">
      <c r="A24" s="40">
        <v>19</v>
      </c>
      <c r="B24" s="36">
        <v>169.84</v>
      </c>
      <c r="C24" s="66">
        <v>531.19000000000005</v>
      </c>
      <c r="D24" s="36">
        <v>3</v>
      </c>
      <c r="E24" s="66">
        <v>11</v>
      </c>
      <c r="F24" s="36">
        <v>701.03</v>
      </c>
      <c r="G24" s="41">
        <v>14</v>
      </c>
    </row>
    <row r="25" spans="1:7" ht="14.5" x14ac:dyDescent="0.35">
      <c r="A25" s="40">
        <v>20</v>
      </c>
      <c r="B25" s="36">
        <v>368.8</v>
      </c>
      <c r="C25" s="66">
        <v>779.14999999999986</v>
      </c>
      <c r="D25" s="36">
        <v>6</v>
      </c>
      <c r="E25" s="66">
        <v>12</v>
      </c>
      <c r="F25" s="36">
        <v>1147.95</v>
      </c>
      <c r="G25" s="41">
        <v>18</v>
      </c>
    </row>
    <row r="26" spans="1:7" ht="14.5" x14ac:dyDescent="0.35">
      <c r="A26" s="40">
        <v>21</v>
      </c>
      <c r="B26" s="36"/>
      <c r="C26" s="66">
        <v>573.63</v>
      </c>
      <c r="D26" s="36"/>
      <c r="E26" s="66">
        <v>10</v>
      </c>
      <c r="F26" s="36">
        <v>573.63</v>
      </c>
      <c r="G26" s="41">
        <v>10</v>
      </c>
    </row>
    <row r="27" spans="1:7" ht="14.5" x14ac:dyDescent="0.35">
      <c r="A27" s="40">
        <v>22</v>
      </c>
      <c r="B27" s="36">
        <v>291.37</v>
      </c>
      <c r="C27" s="66">
        <v>743.33</v>
      </c>
      <c r="D27" s="36">
        <v>5</v>
      </c>
      <c r="E27" s="66">
        <v>10</v>
      </c>
      <c r="F27" s="36">
        <v>1034.7</v>
      </c>
      <c r="G27" s="41">
        <v>15</v>
      </c>
    </row>
    <row r="28" spans="1:7" ht="14.5" x14ac:dyDescent="0.35">
      <c r="A28" s="40">
        <v>23</v>
      </c>
      <c r="B28" s="36">
        <v>418.84</v>
      </c>
      <c r="C28" s="66">
        <v>415.29999999999995</v>
      </c>
      <c r="D28" s="36">
        <v>8</v>
      </c>
      <c r="E28" s="66">
        <v>7</v>
      </c>
      <c r="F28" s="36">
        <v>834.14</v>
      </c>
      <c r="G28" s="41">
        <v>15</v>
      </c>
    </row>
    <row r="29" spans="1:7" ht="14.5" x14ac:dyDescent="0.35">
      <c r="A29" s="40">
        <v>24</v>
      </c>
      <c r="B29" s="36">
        <v>631.71</v>
      </c>
      <c r="C29" s="66">
        <v>878.62000000000012</v>
      </c>
      <c r="D29" s="36">
        <v>10</v>
      </c>
      <c r="E29" s="66">
        <v>14</v>
      </c>
      <c r="F29" s="36">
        <v>1510.3300000000002</v>
      </c>
      <c r="G29" s="41">
        <v>24</v>
      </c>
    </row>
    <row r="30" spans="1:7" ht="14.5" x14ac:dyDescent="0.35">
      <c r="A30" s="40">
        <v>25</v>
      </c>
      <c r="B30" s="36">
        <v>368.74</v>
      </c>
      <c r="C30" s="66">
        <v>1028.4100000000001</v>
      </c>
      <c r="D30" s="36">
        <v>5</v>
      </c>
      <c r="E30" s="66">
        <v>18</v>
      </c>
      <c r="F30" s="36">
        <v>1397.1499999999999</v>
      </c>
      <c r="G30" s="41">
        <v>23</v>
      </c>
    </row>
    <row r="31" spans="1:7" ht="14.5" x14ac:dyDescent="0.35">
      <c r="A31" s="40">
        <v>26</v>
      </c>
      <c r="B31" s="36">
        <v>619.50999999999988</v>
      </c>
      <c r="C31" s="66">
        <v>719.24000000000012</v>
      </c>
      <c r="D31" s="36">
        <v>10</v>
      </c>
      <c r="E31" s="66">
        <v>11</v>
      </c>
      <c r="F31" s="36">
        <v>1338.7499999999998</v>
      </c>
      <c r="G31" s="41">
        <v>21</v>
      </c>
    </row>
    <row r="32" spans="1:7" ht="14.5" x14ac:dyDescent="0.35">
      <c r="A32" s="40">
        <v>27</v>
      </c>
      <c r="B32" s="36">
        <v>364.6</v>
      </c>
      <c r="C32" s="66">
        <v>570.93000000000006</v>
      </c>
      <c r="D32" s="36">
        <v>7</v>
      </c>
      <c r="E32" s="66">
        <v>10</v>
      </c>
      <c r="F32" s="36">
        <v>935.5300000000002</v>
      </c>
      <c r="G32" s="41">
        <v>17</v>
      </c>
    </row>
    <row r="33" spans="1:7" ht="14.5" x14ac:dyDescent="0.35">
      <c r="A33" s="40">
        <v>28</v>
      </c>
      <c r="B33" s="36">
        <v>544.32000000000005</v>
      </c>
      <c r="C33" s="66">
        <v>481.02</v>
      </c>
      <c r="D33" s="36">
        <v>9</v>
      </c>
      <c r="E33" s="66">
        <v>8</v>
      </c>
      <c r="F33" s="36">
        <v>1025.3400000000001</v>
      </c>
      <c r="G33" s="41">
        <v>17</v>
      </c>
    </row>
    <row r="34" spans="1:7" ht="14.5" x14ac:dyDescent="0.35">
      <c r="A34" s="40">
        <v>29</v>
      </c>
      <c r="B34" s="36">
        <v>256.71999999999997</v>
      </c>
      <c r="C34" s="66">
        <v>541.62000000000012</v>
      </c>
      <c r="D34" s="36">
        <v>5</v>
      </c>
      <c r="E34" s="66">
        <v>11</v>
      </c>
      <c r="F34" s="36">
        <v>798.3399999999998</v>
      </c>
      <c r="G34" s="41">
        <v>16</v>
      </c>
    </row>
    <row r="35" spans="1:7" ht="14.5" x14ac:dyDescent="0.35">
      <c r="A35" s="40">
        <v>30</v>
      </c>
      <c r="B35" s="36">
        <v>481.38999999999993</v>
      </c>
      <c r="C35" s="66">
        <v>519.32999999999993</v>
      </c>
      <c r="D35" s="36">
        <v>8</v>
      </c>
      <c r="E35" s="66">
        <v>10</v>
      </c>
      <c r="F35" s="36">
        <v>1000.72</v>
      </c>
      <c r="G35" s="41">
        <v>18</v>
      </c>
    </row>
    <row r="36" spans="1:7" ht="14.5" x14ac:dyDescent="0.35">
      <c r="A36" s="40">
        <v>31</v>
      </c>
      <c r="B36" s="36">
        <v>589.95999999999992</v>
      </c>
      <c r="C36" s="66">
        <v>525.25</v>
      </c>
      <c r="D36" s="36">
        <v>11</v>
      </c>
      <c r="E36" s="66">
        <v>8</v>
      </c>
      <c r="F36" s="36">
        <v>1115.21</v>
      </c>
      <c r="G36" s="41">
        <v>19</v>
      </c>
    </row>
    <row r="37" spans="1:7" ht="14.5" x14ac:dyDescent="0.35">
      <c r="A37" s="40">
        <v>32</v>
      </c>
      <c r="B37" s="36"/>
      <c r="C37" s="66">
        <v>742.90999999999985</v>
      </c>
      <c r="D37" s="36"/>
      <c r="E37" s="66">
        <v>11</v>
      </c>
      <c r="F37" s="36">
        <v>742.90999999999985</v>
      </c>
      <c r="G37" s="41">
        <v>11</v>
      </c>
    </row>
    <row r="38" spans="1:7" ht="14.5" x14ac:dyDescent="0.35">
      <c r="A38" s="40">
        <v>33</v>
      </c>
      <c r="B38" s="36">
        <v>246.23</v>
      </c>
      <c r="C38" s="66">
        <v>304.17</v>
      </c>
      <c r="D38" s="36">
        <v>4</v>
      </c>
      <c r="E38" s="66">
        <v>4</v>
      </c>
      <c r="F38" s="36">
        <v>550.4</v>
      </c>
      <c r="G38" s="41">
        <v>8</v>
      </c>
    </row>
    <row r="39" spans="1:7" ht="14.5" x14ac:dyDescent="0.35">
      <c r="A39" s="40">
        <v>34</v>
      </c>
      <c r="B39" s="36">
        <v>463.87</v>
      </c>
      <c r="C39" s="66">
        <v>299.14999999999998</v>
      </c>
      <c r="D39" s="36">
        <v>8</v>
      </c>
      <c r="E39" s="66">
        <v>6</v>
      </c>
      <c r="F39" s="36">
        <v>763.02</v>
      </c>
      <c r="G39" s="41">
        <v>14</v>
      </c>
    </row>
    <row r="40" spans="1:7" ht="14.5" x14ac:dyDescent="0.35">
      <c r="A40" s="40">
        <v>35</v>
      </c>
      <c r="B40" s="36">
        <v>482.34</v>
      </c>
      <c r="C40" s="66">
        <v>639.66</v>
      </c>
      <c r="D40" s="36">
        <v>7</v>
      </c>
      <c r="E40" s="66">
        <v>9</v>
      </c>
      <c r="F40" s="36">
        <v>1121.9999999999998</v>
      </c>
      <c r="G40" s="41">
        <v>16</v>
      </c>
    </row>
    <row r="41" spans="1:7" ht="14.5" x14ac:dyDescent="0.35">
      <c r="A41" s="40">
        <v>36</v>
      </c>
      <c r="B41" s="36">
        <v>505.64</v>
      </c>
      <c r="C41" s="66">
        <v>729.20999999999992</v>
      </c>
      <c r="D41" s="36">
        <v>8</v>
      </c>
      <c r="E41" s="66">
        <v>11</v>
      </c>
      <c r="F41" s="36">
        <v>1234.8499999999997</v>
      </c>
      <c r="G41" s="41">
        <v>19</v>
      </c>
    </row>
    <row r="42" spans="1:7" ht="14.5" x14ac:dyDescent="0.35">
      <c r="A42" s="40">
        <v>37</v>
      </c>
      <c r="B42" s="36">
        <v>112.71000000000001</v>
      </c>
      <c r="C42" s="66">
        <v>338.86</v>
      </c>
      <c r="D42" s="36">
        <v>2</v>
      </c>
      <c r="E42" s="66">
        <v>6</v>
      </c>
      <c r="F42" s="36">
        <v>451.57000000000005</v>
      </c>
      <c r="G42" s="41">
        <v>8</v>
      </c>
    </row>
    <row r="43" spans="1:7" ht="14.5" x14ac:dyDescent="0.35">
      <c r="A43" s="40">
        <v>38</v>
      </c>
      <c r="B43" s="36">
        <v>568.76</v>
      </c>
      <c r="C43" s="66">
        <v>526.25</v>
      </c>
      <c r="D43" s="36">
        <v>10</v>
      </c>
      <c r="E43" s="66">
        <v>9</v>
      </c>
      <c r="F43" s="36">
        <v>1095.01</v>
      </c>
      <c r="G43" s="41">
        <v>19</v>
      </c>
    </row>
    <row r="44" spans="1:7" ht="14.5" x14ac:dyDescent="0.35">
      <c r="A44" s="40">
        <v>39</v>
      </c>
      <c r="B44" s="36">
        <v>231.14</v>
      </c>
      <c r="C44" s="66">
        <v>311.79000000000002</v>
      </c>
      <c r="D44" s="36">
        <v>4</v>
      </c>
      <c r="E44" s="66">
        <v>5</v>
      </c>
      <c r="F44" s="36">
        <v>542.92999999999995</v>
      </c>
      <c r="G44" s="41">
        <v>9</v>
      </c>
    </row>
    <row r="45" spans="1:7" ht="14.5" x14ac:dyDescent="0.35">
      <c r="A45" s="40">
        <v>40</v>
      </c>
      <c r="B45" s="36">
        <v>88.13</v>
      </c>
      <c r="C45" s="66">
        <v>433.92</v>
      </c>
      <c r="D45" s="36">
        <v>2</v>
      </c>
      <c r="E45" s="66">
        <v>6</v>
      </c>
      <c r="F45" s="36">
        <v>522.04999999999995</v>
      </c>
      <c r="G45" s="41">
        <v>8</v>
      </c>
    </row>
    <row r="46" spans="1:7" ht="14.5" x14ac:dyDescent="0.35">
      <c r="A46" s="40">
        <v>41</v>
      </c>
      <c r="B46" s="36">
        <v>237.22999999999996</v>
      </c>
      <c r="C46" s="66">
        <v>547.75</v>
      </c>
      <c r="D46" s="36">
        <v>4</v>
      </c>
      <c r="E46" s="66">
        <v>7</v>
      </c>
      <c r="F46" s="36">
        <v>784.98</v>
      </c>
      <c r="G46" s="41">
        <v>11</v>
      </c>
    </row>
    <row r="47" spans="1:7" ht="14.5" x14ac:dyDescent="0.35">
      <c r="A47" s="40">
        <v>42</v>
      </c>
      <c r="B47" s="36">
        <v>211.31</v>
      </c>
      <c r="C47" s="66">
        <v>411.21000000000004</v>
      </c>
      <c r="D47" s="36">
        <v>3</v>
      </c>
      <c r="E47" s="66">
        <v>7</v>
      </c>
      <c r="F47" s="36">
        <v>622.52</v>
      </c>
      <c r="G47" s="41">
        <v>10</v>
      </c>
    </row>
    <row r="48" spans="1:7" ht="14.5" x14ac:dyDescent="0.35">
      <c r="A48" s="40">
        <v>43</v>
      </c>
      <c r="B48" s="36">
        <v>259.49</v>
      </c>
      <c r="C48" s="66">
        <v>229.98</v>
      </c>
      <c r="D48" s="36">
        <v>5</v>
      </c>
      <c r="E48" s="66">
        <v>5</v>
      </c>
      <c r="F48" s="36">
        <v>489.47</v>
      </c>
      <c r="G48" s="41">
        <v>10</v>
      </c>
    </row>
    <row r="49" spans="1:7" ht="14.5" x14ac:dyDescent="0.35">
      <c r="A49" s="40">
        <v>44</v>
      </c>
      <c r="B49" s="36">
        <v>173.57</v>
      </c>
      <c r="C49" s="66">
        <v>293.58000000000004</v>
      </c>
      <c r="D49" s="36">
        <v>2</v>
      </c>
      <c r="E49" s="66">
        <v>4</v>
      </c>
      <c r="F49" s="36">
        <v>467.15000000000003</v>
      </c>
      <c r="G49" s="41">
        <v>6</v>
      </c>
    </row>
    <row r="50" spans="1:7" ht="14.5" x14ac:dyDescent="0.35">
      <c r="A50" s="40">
        <v>45</v>
      </c>
      <c r="B50" s="36">
        <v>118.16</v>
      </c>
      <c r="C50" s="66">
        <v>132.71</v>
      </c>
      <c r="D50" s="36">
        <v>2</v>
      </c>
      <c r="E50" s="66">
        <v>2</v>
      </c>
      <c r="F50" s="36">
        <v>250.87</v>
      </c>
      <c r="G50" s="41">
        <v>4</v>
      </c>
    </row>
    <row r="51" spans="1:7" ht="14.5" x14ac:dyDescent="0.35">
      <c r="A51" s="40">
        <v>46</v>
      </c>
      <c r="B51" s="36">
        <v>142.07999999999998</v>
      </c>
      <c r="C51" s="66">
        <v>386.59999999999997</v>
      </c>
      <c r="D51" s="36">
        <v>2</v>
      </c>
      <c r="E51" s="66">
        <v>5</v>
      </c>
      <c r="F51" s="36">
        <v>528.67999999999995</v>
      </c>
      <c r="G51" s="41">
        <v>7</v>
      </c>
    </row>
    <row r="52" spans="1:7" ht="14.5" x14ac:dyDescent="0.35">
      <c r="A52" s="40">
        <v>47</v>
      </c>
      <c r="B52" s="36">
        <v>284.71999999999997</v>
      </c>
      <c r="C52" s="66">
        <v>95</v>
      </c>
      <c r="D52" s="36">
        <v>5</v>
      </c>
      <c r="E52" s="66">
        <v>2</v>
      </c>
      <c r="F52" s="36">
        <v>379.71999999999997</v>
      </c>
      <c r="G52" s="41">
        <v>7</v>
      </c>
    </row>
    <row r="53" spans="1:7" ht="14.5" x14ac:dyDescent="0.35">
      <c r="A53" s="40">
        <v>48</v>
      </c>
      <c r="B53" s="36">
        <v>142.58999999999997</v>
      </c>
      <c r="C53" s="66">
        <v>352.4</v>
      </c>
      <c r="D53" s="36">
        <v>2</v>
      </c>
      <c r="E53" s="66">
        <v>7</v>
      </c>
      <c r="F53" s="36">
        <v>494.98999999999995</v>
      </c>
      <c r="G53" s="41">
        <v>9</v>
      </c>
    </row>
    <row r="54" spans="1:7" ht="14.5" x14ac:dyDescent="0.35">
      <c r="A54" s="40">
        <v>49</v>
      </c>
      <c r="B54" s="36">
        <v>59.39</v>
      </c>
      <c r="C54" s="66">
        <v>207.24</v>
      </c>
      <c r="D54" s="36">
        <v>1</v>
      </c>
      <c r="E54" s="66">
        <v>4</v>
      </c>
      <c r="F54" s="36">
        <v>266.63</v>
      </c>
      <c r="G54" s="41">
        <v>5</v>
      </c>
    </row>
    <row r="55" spans="1:7" ht="14.5" x14ac:dyDescent="0.35">
      <c r="A55" s="40">
        <v>50</v>
      </c>
      <c r="B55" s="36"/>
      <c r="C55" s="66">
        <v>254.44</v>
      </c>
      <c r="D55" s="36"/>
      <c r="E55" s="66">
        <v>5</v>
      </c>
      <c r="F55" s="36">
        <v>254.44</v>
      </c>
      <c r="G55" s="41">
        <v>5</v>
      </c>
    </row>
    <row r="56" spans="1:7" ht="14.5" x14ac:dyDescent="0.35">
      <c r="A56" s="40">
        <v>51</v>
      </c>
      <c r="B56" s="36">
        <v>119.58000000000001</v>
      </c>
      <c r="C56" s="66">
        <v>392.12</v>
      </c>
      <c r="D56" s="36">
        <v>2</v>
      </c>
      <c r="E56" s="66">
        <v>6</v>
      </c>
      <c r="F56" s="36">
        <v>511.7</v>
      </c>
      <c r="G56" s="41">
        <v>8</v>
      </c>
    </row>
    <row r="57" spans="1:7" ht="14.5" x14ac:dyDescent="0.35">
      <c r="A57" s="40">
        <v>52</v>
      </c>
      <c r="B57" s="36">
        <v>55.46</v>
      </c>
      <c r="C57" s="66">
        <v>112.91999999999999</v>
      </c>
      <c r="D57" s="36">
        <v>1</v>
      </c>
      <c r="E57" s="66">
        <v>3</v>
      </c>
      <c r="F57" s="36">
        <v>168.38</v>
      </c>
      <c r="G57" s="41">
        <v>4</v>
      </c>
    </row>
    <row r="58" spans="1:7" ht="14.5" x14ac:dyDescent="0.35">
      <c r="A58" s="40">
        <v>53</v>
      </c>
      <c r="B58" s="36">
        <v>70.61</v>
      </c>
      <c r="C58" s="66">
        <v>99.96</v>
      </c>
      <c r="D58" s="36">
        <v>1</v>
      </c>
      <c r="E58" s="66">
        <v>1</v>
      </c>
      <c r="F58" s="36">
        <v>170.57</v>
      </c>
      <c r="G58" s="41">
        <v>2</v>
      </c>
    </row>
    <row r="59" spans="1:7" ht="14.5" x14ac:dyDescent="0.35">
      <c r="A59" s="40">
        <v>54</v>
      </c>
      <c r="B59" s="36">
        <v>85.91</v>
      </c>
      <c r="C59" s="66">
        <v>67.069999999999993</v>
      </c>
      <c r="D59" s="36">
        <v>2</v>
      </c>
      <c r="E59" s="66">
        <v>1</v>
      </c>
      <c r="F59" s="36">
        <v>152.97999999999999</v>
      </c>
      <c r="G59" s="41">
        <v>3</v>
      </c>
    </row>
    <row r="60" spans="1:7" ht="14.5" x14ac:dyDescent="0.35">
      <c r="A60" s="40">
        <v>55</v>
      </c>
      <c r="B60" s="36"/>
      <c r="C60" s="66">
        <v>72.78</v>
      </c>
      <c r="D60" s="36"/>
      <c r="E60" s="66">
        <v>1</v>
      </c>
      <c r="F60" s="36">
        <v>72.78</v>
      </c>
      <c r="G60" s="41">
        <v>1</v>
      </c>
    </row>
    <row r="61" spans="1:7" ht="14.5" x14ac:dyDescent="0.35">
      <c r="A61" s="40">
        <v>56</v>
      </c>
      <c r="B61" s="36"/>
      <c r="C61" s="66">
        <v>67.02</v>
      </c>
      <c r="D61" s="36"/>
      <c r="E61" s="66">
        <v>1</v>
      </c>
      <c r="F61" s="36">
        <v>67.02</v>
      </c>
      <c r="G61" s="41">
        <v>1</v>
      </c>
    </row>
    <row r="62" spans="1:7" ht="14.5" x14ac:dyDescent="0.35">
      <c r="A62" s="40">
        <v>57</v>
      </c>
      <c r="B62" s="36"/>
      <c r="C62" s="66">
        <v>196.31</v>
      </c>
      <c r="D62" s="36"/>
      <c r="E62" s="66">
        <v>4</v>
      </c>
      <c r="F62" s="36">
        <v>196.31</v>
      </c>
      <c r="G62" s="41">
        <v>4</v>
      </c>
    </row>
    <row r="63" spans="1:7" ht="14.5" x14ac:dyDescent="0.35">
      <c r="A63" s="40">
        <v>58</v>
      </c>
      <c r="B63" s="36">
        <v>53.2</v>
      </c>
      <c r="C63" s="66"/>
      <c r="D63" s="36">
        <v>1</v>
      </c>
      <c r="E63" s="66"/>
      <c r="F63" s="36">
        <v>53.2</v>
      </c>
      <c r="G63" s="41">
        <v>1</v>
      </c>
    </row>
    <row r="64" spans="1:7" ht="14.5" x14ac:dyDescent="0.35">
      <c r="A64" s="40">
        <v>59</v>
      </c>
      <c r="B64" s="36">
        <v>42.33</v>
      </c>
      <c r="C64" s="66"/>
      <c r="D64" s="36">
        <v>1</v>
      </c>
      <c r="E64" s="66"/>
      <c r="F64" s="36">
        <v>42.33</v>
      </c>
      <c r="G64" s="41">
        <v>1</v>
      </c>
    </row>
    <row r="65" spans="1:7" ht="15.75" customHeight="1" x14ac:dyDescent="0.35">
      <c r="A65" s="40">
        <v>60</v>
      </c>
      <c r="B65" s="36">
        <v>46.24</v>
      </c>
      <c r="C65" s="66"/>
      <c r="D65" s="36">
        <v>1</v>
      </c>
      <c r="E65" s="66"/>
      <c r="F65" s="36">
        <v>46.24</v>
      </c>
      <c r="G65" s="41">
        <v>1</v>
      </c>
    </row>
    <row r="66" spans="1:7" ht="15.75" customHeight="1" x14ac:dyDescent="0.35">
      <c r="A66" s="40">
        <v>62</v>
      </c>
      <c r="B66" s="36">
        <v>77.400000000000006</v>
      </c>
      <c r="C66" s="66"/>
      <c r="D66" s="36">
        <v>1</v>
      </c>
      <c r="E66" s="66"/>
      <c r="F66" s="36">
        <v>77.400000000000006</v>
      </c>
      <c r="G66" s="41">
        <v>1</v>
      </c>
    </row>
    <row r="67" spans="1:7" ht="15.75" customHeight="1" x14ac:dyDescent="0.35">
      <c r="A67" s="40">
        <v>63</v>
      </c>
      <c r="B67" s="36">
        <v>39.17</v>
      </c>
      <c r="C67" s="66"/>
      <c r="D67" s="36">
        <v>1</v>
      </c>
      <c r="E67" s="66"/>
      <c r="F67" s="36">
        <v>39.17</v>
      </c>
      <c r="G67" s="41">
        <v>1</v>
      </c>
    </row>
    <row r="68" spans="1:7" ht="15.75" customHeight="1" x14ac:dyDescent="0.35">
      <c r="A68" s="40">
        <v>64</v>
      </c>
      <c r="B68" s="36"/>
      <c r="C68" s="66">
        <v>89.18</v>
      </c>
      <c r="D68" s="36"/>
      <c r="E68" s="66">
        <v>1</v>
      </c>
      <c r="F68" s="36">
        <v>89.18</v>
      </c>
      <c r="G68" s="41">
        <v>1</v>
      </c>
    </row>
    <row r="69" spans="1:7" ht="15.75" customHeight="1" x14ac:dyDescent="0.35">
      <c r="A69" s="40">
        <v>67</v>
      </c>
      <c r="B69" s="36">
        <v>108.39</v>
      </c>
      <c r="C69" s="66"/>
      <c r="D69" s="36">
        <v>2</v>
      </c>
      <c r="E69" s="66"/>
      <c r="F69" s="36">
        <v>108.39</v>
      </c>
      <c r="G69" s="41">
        <v>2</v>
      </c>
    </row>
    <row r="70" spans="1:7" ht="15.75" customHeight="1" x14ac:dyDescent="0.35">
      <c r="A70" s="40">
        <v>68</v>
      </c>
      <c r="B70" s="36"/>
      <c r="C70" s="66">
        <v>23.31</v>
      </c>
      <c r="D70" s="36"/>
      <c r="E70" s="66">
        <v>1</v>
      </c>
      <c r="F70" s="36">
        <v>23.31</v>
      </c>
      <c r="G70" s="41">
        <v>1</v>
      </c>
    </row>
    <row r="71" spans="1:7" ht="15.75" customHeight="1" x14ac:dyDescent="0.35">
      <c r="A71" s="40">
        <v>74</v>
      </c>
      <c r="B71" s="36"/>
      <c r="C71" s="66">
        <v>55.63</v>
      </c>
      <c r="D71" s="36"/>
      <c r="E71" s="66">
        <v>1</v>
      </c>
      <c r="F71" s="36">
        <v>55.63</v>
      </c>
      <c r="G71" s="41">
        <v>1</v>
      </c>
    </row>
    <row r="72" spans="1:7" ht="15.75" customHeight="1" x14ac:dyDescent="0.35">
      <c r="A72" s="42" t="s">
        <v>28</v>
      </c>
      <c r="B72" s="67">
        <v>14763.899999999991</v>
      </c>
      <c r="C72" s="68">
        <v>24898.819999999996</v>
      </c>
      <c r="D72" s="67">
        <v>247</v>
      </c>
      <c r="E72" s="68">
        <v>413</v>
      </c>
      <c r="F72" s="84">
        <v>39662.719999999987</v>
      </c>
      <c r="G72" s="83">
        <v>660</v>
      </c>
    </row>
    <row r="73" spans="1:7" ht="15.75" customHeight="1" x14ac:dyDescent="0.35"/>
    <row r="74" spans="1:7" ht="15.75" customHeight="1" x14ac:dyDescent="0.35">
      <c r="F74" s="28"/>
      <c r="G74" s="28"/>
    </row>
    <row r="75" spans="1:7" ht="15.75" customHeight="1" x14ac:dyDescent="0.35">
      <c r="A75" s="27"/>
      <c r="B75" s="28"/>
      <c r="C75" s="28"/>
      <c r="D75" s="28"/>
      <c r="E75" s="28"/>
      <c r="F75" s="28"/>
      <c r="G75" s="28"/>
    </row>
    <row r="76" spans="1:7" ht="15.75" customHeight="1" x14ac:dyDescent="0.35">
      <c r="A76" s="27"/>
      <c r="B76" s="28"/>
      <c r="C76" s="28"/>
      <c r="D76" s="28"/>
      <c r="E76" s="28"/>
      <c r="F76" s="28"/>
      <c r="G76" s="28"/>
    </row>
    <row r="77" spans="1:7" ht="15.75" customHeight="1" x14ac:dyDescent="0.35">
      <c r="A77" s="27"/>
      <c r="B77" s="28"/>
      <c r="C77" s="28"/>
      <c r="D77" s="28"/>
      <c r="E77" s="28"/>
      <c r="F77" s="28"/>
      <c r="G77" s="28"/>
    </row>
    <row r="78" spans="1:7" ht="15.75" customHeight="1" x14ac:dyDescent="0.35">
      <c r="A78" s="27"/>
      <c r="B78" s="28"/>
      <c r="C78" s="28"/>
      <c r="D78" s="28"/>
      <c r="E78" s="28"/>
      <c r="F78" s="28"/>
      <c r="G78" s="28"/>
    </row>
    <row r="79" spans="1:7" ht="15.75" customHeight="1" x14ac:dyDescent="0.35">
      <c r="A79" s="27"/>
      <c r="B79" s="28"/>
      <c r="C79" s="28"/>
      <c r="D79" s="28"/>
      <c r="E79" s="28"/>
      <c r="F79" s="28"/>
      <c r="G79" s="28"/>
    </row>
    <row r="80" spans="1:7" ht="15.75" customHeight="1" x14ac:dyDescent="0.35">
      <c r="A80" s="27"/>
      <c r="B80" s="28"/>
      <c r="C80" s="28"/>
      <c r="D80" s="28"/>
      <c r="E80" s="28"/>
      <c r="F80" s="28"/>
      <c r="G80" s="28"/>
    </row>
    <row r="81" spans="1:7" ht="15.75" customHeight="1" x14ac:dyDescent="0.35">
      <c r="A81" s="27"/>
      <c r="B81" s="28"/>
      <c r="C81" s="28"/>
      <c r="D81" s="28"/>
      <c r="E81" s="28"/>
      <c r="F81" s="28"/>
      <c r="G81" s="28"/>
    </row>
    <row r="82" spans="1:7" ht="15.75" customHeight="1" x14ac:dyDescent="0.35">
      <c r="A82" s="27"/>
      <c r="B82" s="28"/>
      <c r="C82" s="28"/>
      <c r="D82" s="28"/>
      <c r="E82" s="28"/>
      <c r="F82" s="28"/>
      <c r="G82" s="28"/>
    </row>
    <row r="83" spans="1:7" ht="15.75" customHeight="1" x14ac:dyDescent="0.35">
      <c r="A83" s="27"/>
      <c r="B83" s="28"/>
      <c r="C83" s="28"/>
      <c r="D83" s="28"/>
      <c r="E83" s="28"/>
      <c r="F83" s="28"/>
      <c r="G83" s="28"/>
    </row>
    <row r="84" spans="1:7" ht="15.75" customHeight="1" x14ac:dyDescent="0.35">
      <c r="A84" s="27"/>
      <c r="B84" s="28"/>
      <c r="C84" s="28"/>
      <c r="D84" s="28"/>
      <c r="E84" s="28"/>
      <c r="F84" s="28"/>
      <c r="G84" s="28"/>
    </row>
    <row r="85" spans="1:7" ht="15.75" customHeight="1" x14ac:dyDescent="0.35">
      <c r="A85" s="27"/>
      <c r="B85" s="28"/>
      <c r="C85" s="28"/>
      <c r="D85" s="28"/>
      <c r="E85" s="28"/>
      <c r="F85" s="28"/>
      <c r="G85" s="28"/>
    </row>
    <row r="86" spans="1:7" ht="15.75" customHeight="1" x14ac:dyDescent="0.35">
      <c r="A86" s="27"/>
      <c r="B86" s="28"/>
      <c r="C86" s="28"/>
      <c r="D86" s="28"/>
      <c r="E86" s="28"/>
      <c r="F86" s="28"/>
      <c r="G86" s="28"/>
    </row>
    <row r="87" spans="1:7" ht="15.75" customHeight="1" x14ac:dyDescent="0.35">
      <c r="A87" s="27"/>
      <c r="B87" s="28"/>
      <c r="C87" s="28"/>
      <c r="D87" s="28"/>
      <c r="E87" s="28"/>
      <c r="F87" s="28"/>
      <c r="G87" s="28"/>
    </row>
    <row r="88" spans="1:7" ht="15.75" customHeight="1" x14ac:dyDescent="0.35">
      <c r="A88" s="27"/>
      <c r="B88" s="28"/>
      <c r="C88" s="28"/>
      <c r="D88" s="28"/>
      <c r="E88" s="28"/>
      <c r="F88" s="28"/>
      <c r="G88" s="28"/>
    </row>
    <row r="89" spans="1:7" ht="15.75" customHeight="1" x14ac:dyDescent="0.35">
      <c r="A89" s="27"/>
      <c r="B89" s="28"/>
      <c r="C89" s="28"/>
      <c r="D89" s="28"/>
      <c r="E89" s="28"/>
      <c r="F89" s="28"/>
      <c r="G89" s="28"/>
    </row>
    <row r="90" spans="1:7" ht="15.75" customHeight="1" x14ac:dyDescent="0.35">
      <c r="A90" s="27"/>
      <c r="B90" s="28"/>
      <c r="C90" s="28"/>
      <c r="D90" s="28"/>
      <c r="E90" s="28"/>
      <c r="F90" s="28"/>
      <c r="G90" s="28"/>
    </row>
    <row r="91" spans="1:7" ht="15.75" customHeight="1" x14ac:dyDescent="0.35">
      <c r="A91" s="27"/>
      <c r="B91" s="28"/>
      <c r="C91" s="28"/>
      <c r="D91" s="28"/>
      <c r="E91" s="28"/>
      <c r="F91" s="28"/>
      <c r="G91" s="28"/>
    </row>
    <row r="92" spans="1:7" ht="15.75" customHeight="1" x14ac:dyDescent="0.35">
      <c r="A92" s="27"/>
      <c r="B92" s="28"/>
      <c r="C92" s="28"/>
      <c r="D92" s="28"/>
      <c r="E92" s="28"/>
      <c r="F92" s="28"/>
      <c r="G92" s="28"/>
    </row>
    <row r="93" spans="1:7" ht="15.75" customHeight="1" x14ac:dyDescent="0.35">
      <c r="A93" s="27"/>
      <c r="B93" s="28"/>
      <c r="C93" s="28"/>
      <c r="D93" s="28"/>
      <c r="E93" s="28"/>
      <c r="F93" s="28"/>
      <c r="G93" s="28"/>
    </row>
    <row r="94" spans="1:7" ht="15.75" customHeight="1" x14ac:dyDescent="0.35">
      <c r="A94" s="27"/>
      <c r="B94" s="28"/>
      <c r="C94" s="28"/>
      <c r="D94" s="28"/>
      <c r="E94" s="28"/>
      <c r="F94" s="28"/>
      <c r="G94" s="28"/>
    </row>
    <row r="95" spans="1:7" ht="15.75" customHeight="1" x14ac:dyDescent="0.35">
      <c r="A95" s="27"/>
      <c r="B95" s="28"/>
      <c r="C95" s="28"/>
      <c r="D95" s="28"/>
      <c r="E95" s="28"/>
      <c r="F95" s="28"/>
      <c r="G95" s="28"/>
    </row>
    <row r="96" spans="1:7" ht="15.75" customHeight="1" x14ac:dyDescent="0.35">
      <c r="A96" s="27"/>
      <c r="B96" s="28"/>
      <c r="C96" s="28"/>
      <c r="D96" s="28"/>
      <c r="E96" s="28"/>
      <c r="F96" s="28"/>
      <c r="G96" s="28"/>
    </row>
    <row r="97" spans="1:7" ht="15.75" customHeight="1" x14ac:dyDescent="0.35">
      <c r="A97" s="27"/>
      <c r="B97" s="28"/>
      <c r="C97" s="28"/>
      <c r="D97" s="28"/>
      <c r="E97" s="28"/>
      <c r="F97" s="28"/>
      <c r="G97" s="28"/>
    </row>
    <row r="98" spans="1:7" ht="15.75" customHeight="1" x14ac:dyDescent="0.35">
      <c r="A98" s="27"/>
      <c r="B98" s="28"/>
      <c r="C98" s="28"/>
      <c r="D98" s="28"/>
      <c r="E98" s="28"/>
      <c r="F98" s="28"/>
      <c r="G98" s="28"/>
    </row>
    <row r="99" spans="1:7" ht="15.75" customHeight="1" x14ac:dyDescent="0.35">
      <c r="A99" s="27"/>
      <c r="B99" s="28"/>
      <c r="C99" s="28"/>
      <c r="D99" s="28"/>
      <c r="E99" s="28"/>
      <c r="F99" s="28"/>
      <c r="G99" s="28"/>
    </row>
    <row r="100" spans="1:7" ht="15.75" customHeight="1" x14ac:dyDescent="0.35">
      <c r="A100" s="27"/>
      <c r="B100" s="28"/>
      <c r="C100" s="28"/>
      <c r="D100" s="28"/>
      <c r="E100" s="28"/>
      <c r="F100" s="28"/>
      <c r="G100" s="28"/>
    </row>
    <row r="101" spans="1:7" ht="15.75" customHeight="1" x14ac:dyDescent="0.35">
      <c r="A101" s="27"/>
      <c r="B101" s="28"/>
      <c r="C101" s="28"/>
      <c r="D101" s="28"/>
      <c r="E101" s="28"/>
      <c r="F101" s="28"/>
      <c r="G101" s="28"/>
    </row>
    <row r="102" spans="1:7" ht="15.75" customHeight="1" x14ac:dyDescent="0.35">
      <c r="A102" s="27"/>
      <c r="B102" s="28"/>
      <c r="C102" s="28"/>
      <c r="D102" s="28"/>
      <c r="E102" s="28"/>
      <c r="F102" s="28"/>
      <c r="G102" s="28"/>
    </row>
    <row r="103" spans="1:7" ht="15.75" customHeight="1" x14ac:dyDescent="0.35">
      <c r="A103" s="27"/>
      <c r="B103" s="28"/>
      <c r="C103" s="28"/>
      <c r="D103" s="28"/>
      <c r="E103" s="28"/>
      <c r="F103" s="28"/>
      <c r="G103" s="28"/>
    </row>
    <row r="104" spans="1:7" ht="15.75" customHeight="1" x14ac:dyDescent="0.35">
      <c r="A104" s="27"/>
      <c r="B104" s="28"/>
      <c r="C104" s="28"/>
      <c r="D104" s="28"/>
      <c r="E104" s="28"/>
      <c r="F104" s="28"/>
      <c r="G104" s="28"/>
    </row>
    <row r="105" spans="1:7" ht="15.75" customHeight="1" x14ac:dyDescent="0.35">
      <c r="A105" s="27"/>
      <c r="B105" s="28"/>
      <c r="C105" s="28"/>
      <c r="D105" s="28"/>
      <c r="E105" s="28"/>
      <c r="F105" s="28"/>
      <c r="G105" s="28"/>
    </row>
    <row r="106" spans="1:7" ht="15.75" customHeight="1" x14ac:dyDescent="0.35">
      <c r="A106" s="27"/>
      <c r="B106" s="28"/>
      <c r="C106" s="28"/>
      <c r="D106" s="28"/>
      <c r="E106" s="28"/>
      <c r="F106" s="28"/>
      <c r="G106" s="28"/>
    </row>
    <row r="107" spans="1:7" ht="15.75" customHeight="1" x14ac:dyDescent="0.35">
      <c r="A107" s="27"/>
      <c r="B107" s="28"/>
      <c r="C107" s="28"/>
      <c r="D107" s="28"/>
      <c r="E107" s="28"/>
      <c r="F107" s="28"/>
      <c r="G107" s="28"/>
    </row>
    <row r="108" spans="1:7" ht="15.75" customHeight="1" x14ac:dyDescent="0.35">
      <c r="A108" s="27"/>
      <c r="B108" s="28"/>
      <c r="C108" s="28"/>
      <c r="D108" s="28"/>
      <c r="E108" s="28"/>
      <c r="F108" s="28"/>
      <c r="G108" s="28"/>
    </row>
    <row r="109" spans="1:7" ht="15.75" customHeight="1" x14ac:dyDescent="0.35">
      <c r="A109" s="27"/>
      <c r="B109" s="28"/>
      <c r="C109" s="28"/>
      <c r="D109" s="28"/>
      <c r="E109" s="28"/>
      <c r="F109" s="28"/>
      <c r="G109" s="28"/>
    </row>
    <row r="110" spans="1:7" ht="15.75" customHeight="1" x14ac:dyDescent="0.35">
      <c r="A110" s="27"/>
      <c r="B110" s="28"/>
      <c r="C110" s="28"/>
      <c r="D110" s="28"/>
      <c r="E110" s="28"/>
      <c r="F110" s="28"/>
      <c r="G110" s="28"/>
    </row>
    <row r="111" spans="1:7" ht="15.75" customHeight="1" x14ac:dyDescent="0.35">
      <c r="A111" s="27"/>
      <c r="B111" s="28"/>
      <c r="C111" s="28"/>
      <c r="D111" s="28"/>
      <c r="E111" s="28"/>
      <c r="F111" s="28"/>
      <c r="G111" s="28"/>
    </row>
    <row r="112" spans="1:7" ht="15.75" customHeight="1" x14ac:dyDescent="0.35">
      <c r="A112" s="27"/>
      <c r="B112" s="28"/>
      <c r="C112" s="28"/>
      <c r="D112" s="28"/>
      <c r="E112" s="28"/>
      <c r="F112" s="28"/>
      <c r="G112" s="28"/>
    </row>
    <row r="113" spans="1:7" ht="15.75" customHeight="1" x14ac:dyDescent="0.35">
      <c r="A113" s="27"/>
      <c r="B113" s="28"/>
      <c r="C113" s="28"/>
      <c r="D113" s="28"/>
      <c r="E113" s="28"/>
      <c r="F113" s="28"/>
      <c r="G113" s="28"/>
    </row>
    <row r="114" spans="1:7" ht="15.75" customHeight="1" x14ac:dyDescent="0.35">
      <c r="A114" s="27"/>
      <c r="B114" s="28"/>
      <c r="C114" s="28"/>
      <c r="D114" s="28"/>
      <c r="E114" s="28"/>
      <c r="F114" s="28"/>
      <c r="G114" s="28"/>
    </row>
    <row r="115" spans="1:7" ht="15.75" customHeight="1" x14ac:dyDescent="0.35">
      <c r="A115" s="27"/>
      <c r="B115" s="28"/>
      <c r="C115" s="28"/>
      <c r="D115" s="28"/>
      <c r="E115" s="28"/>
      <c r="F115" s="28"/>
      <c r="G115" s="28"/>
    </row>
    <row r="116" spans="1:7" ht="15.75" customHeight="1" x14ac:dyDescent="0.35">
      <c r="A116" s="27"/>
      <c r="B116" s="28"/>
      <c r="C116" s="28"/>
      <c r="D116" s="28"/>
      <c r="E116" s="28"/>
      <c r="F116" s="28"/>
      <c r="G116" s="28"/>
    </row>
    <row r="117" spans="1:7" ht="15.75" customHeight="1" x14ac:dyDescent="0.35">
      <c r="A117" s="27"/>
      <c r="B117" s="28"/>
      <c r="C117" s="28"/>
      <c r="D117" s="28"/>
      <c r="E117" s="28"/>
      <c r="F117" s="28"/>
      <c r="G117" s="28"/>
    </row>
    <row r="118" spans="1:7" ht="15.75" customHeight="1" x14ac:dyDescent="0.35">
      <c r="A118" s="27"/>
      <c r="B118" s="28"/>
      <c r="C118" s="28"/>
      <c r="D118" s="28"/>
      <c r="E118" s="28"/>
      <c r="F118" s="28"/>
      <c r="G118" s="28"/>
    </row>
    <row r="119" spans="1:7" ht="15.75" customHeight="1" x14ac:dyDescent="0.35">
      <c r="A119" s="27"/>
      <c r="B119" s="28"/>
      <c r="C119" s="28"/>
      <c r="D119" s="28"/>
      <c r="E119" s="28"/>
      <c r="F119" s="28"/>
      <c r="G119" s="28"/>
    </row>
    <row r="120" spans="1:7" ht="15.75" customHeight="1" x14ac:dyDescent="0.35">
      <c r="A120" s="27"/>
      <c r="B120" s="28"/>
      <c r="C120" s="28"/>
      <c r="D120" s="28"/>
      <c r="E120" s="28"/>
      <c r="F120" s="28"/>
      <c r="G120" s="28"/>
    </row>
    <row r="121" spans="1:7" ht="15.75" customHeight="1" x14ac:dyDescent="0.35">
      <c r="A121" s="27"/>
      <c r="B121" s="28"/>
      <c r="C121" s="28"/>
      <c r="D121" s="28"/>
      <c r="E121" s="28"/>
      <c r="F121" s="28"/>
      <c r="G121" s="28"/>
    </row>
    <row r="122" spans="1:7" ht="15.75" customHeight="1" x14ac:dyDescent="0.35">
      <c r="A122" s="27"/>
      <c r="B122" s="28"/>
      <c r="C122" s="28"/>
      <c r="D122" s="28"/>
      <c r="E122" s="28"/>
      <c r="F122" s="28"/>
      <c r="G122" s="28"/>
    </row>
    <row r="123" spans="1:7" ht="15.75" customHeight="1" x14ac:dyDescent="0.35">
      <c r="A123" s="27"/>
      <c r="B123" s="28"/>
      <c r="C123" s="28"/>
      <c r="D123" s="28"/>
      <c r="E123" s="28"/>
      <c r="F123" s="28"/>
      <c r="G123" s="28"/>
    </row>
    <row r="124" spans="1:7" ht="15.75" customHeight="1" x14ac:dyDescent="0.35">
      <c r="A124" s="27"/>
      <c r="B124" s="28"/>
      <c r="C124" s="28"/>
      <c r="D124" s="28"/>
      <c r="E124" s="28"/>
      <c r="F124" s="28"/>
      <c r="G124" s="28"/>
    </row>
    <row r="125" spans="1:7" ht="15.75" customHeight="1" x14ac:dyDescent="0.35">
      <c r="A125" s="27"/>
      <c r="B125" s="28"/>
      <c r="C125" s="28"/>
      <c r="D125" s="28"/>
      <c r="E125" s="28"/>
      <c r="F125" s="28"/>
      <c r="G125" s="28"/>
    </row>
    <row r="126" spans="1:7" ht="15.75" customHeight="1" x14ac:dyDescent="0.35">
      <c r="A126" s="27"/>
      <c r="B126" s="28"/>
      <c r="C126" s="28"/>
      <c r="D126" s="28"/>
      <c r="E126" s="28"/>
      <c r="F126" s="28"/>
      <c r="G126" s="28"/>
    </row>
    <row r="127" spans="1:7" ht="15.75" customHeight="1" x14ac:dyDescent="0.35">
      <c r="A127" s="27"/>
      <c r="B127" s="28"/>
      <c r="C127" s="28"/>
      <c r="D127" s="28"/>
      <c r="E127" s="28"/>
      <c r="F127" s="28"/>
      <c r="G127" s="28"/>
    </row>
    <row r="128" spans="1:7" ht="15.75" customHeight="1" x14ac:dyDescent="0.35">
      <c r="A128" s="27"/>
      <c r="B128" s="28"/>
      <c r="C128" s="28"/>
      <c r="D128" s="28"/>
      <c r="E128" s="28"/>
      <c r="F128" s="28"/>
      <c r="G128" s="28"/>
    </row>
    <row r="129" spans="1:7" ht="15.75" customHeight="1" x14ac:dyDescent="0.35">
      <c r="A129" s="27"/>
      <c r="B129" s="28"/>
      <c r="C129" s="28"/>
      <c r="D129" s="28"/>
      <c r="E129" s="28"/>
      <c r="F129" s="28"/>
      <c r="G129" s="28"/>
    </row>
    <row r="130" spans="1:7" ht="15.75" customHeight="1" x14ac:dyDescent="0.35">
      <c r="A130" s="27"/>
      <c r="B130" s="28"/>
      <c r="C130" s="28"/>
      <c r="D130" s="28"/>
      <c r="E130" s="28"/>
      <c r="F130" s="28"/>
      <c r="G130" s="28"/>
    </row>
    <row r="131" spans="1:7" ht="15.75" customHeight="1" x14ac:dyDescent="0.35">
      <c r="A131" s="27"/>
      <c r="B131" s="28"/>
      <c r="C131" s="28"/>
      <c r="D131" s="28"/>
      <c r="E131" s="28"/>
      <c r="F131" s="28"/>
      <c r="G131" s="28"/>
    </row>
    <row r="132" spans="1:7" ht="15.75" customHeight="1" x14ac:dyDescent="0.35">
      <c r="A132" s="27"/>
      <c r="B132" s="28"/>
      <c r="C132" s="28"/>
      <c r="D132" s="28"/>
      <c r="E132" s="28"/>
      <c r="F132" s="28"/>
      <c r="G132" s="28"/>
    </row>
    <row r="133" spans="1:7" ht="15.75" customHeight="1" x14ac:dyDescent="0.35">
      <c r="A133" s="27"/>
      <c r="B133" s="28"/>
      <c r="C133" s="28"/>
      <c r="D133" s="28"/>
      <c r="E133" s="28"/>
      <c r="F133" s="28"/>
      <c r="G133" s="28"/>
    </row>
    <row r="134" spans="1:7" ht="15.75" customHeight="1" x14ac:dyDescent="0.35">
      <c r="A134" s="27"/>
      <c r="B134" s="28"/>
      <c r="C134" s="28"/>
      <c r="D134" s="28"/>
      <c r="E134" s="28"/>
      <c r="F134" s="28"/>
      <c r="G134" s="28"/>
    </row>
    <row r="135" spans="1:7" ht="15.75" customHeight="1" x14ac:dyDescent="0.35">
      <c r="A135" s="27"/>
      <c r="B135" s="28"/>
      <c r="C135" s="28"/>
      <c r="D135" s="28"/>
      <c r="E135" s="28"/>
      <c r="F135" s="28"/>
      <c r="G135" s="28"/>
    </row>
    <row r="136" spans="1:7" ht="15.75" customHeight="1" x14ac:dyDescent="0.35">
      <c r="A136" s="27"/>
      <c r="B136" s="28"/>
      <c r="C136" s="28"/>
      <c r="D136" s="28"/>
      <c r="E136" s="28"/>
      <c r="F136" s="28"/>
      <c r="G136" s="28"/>
    </row>
    <row r="137" spans="1:7" ht="15.75" customHeight="1" x14ac:dyDescent="0.35">
      <c r="A137" s="27"/>
      <c r="B137" s="28"/>
      <c r="C137" s="28"/>
      <c r="D137" s="28"/>
      <c r="E137" s="28"/>
      <c r="F137" s="28"/>
      <c r="G137" s="28"/>
    </row>
    <row r="138" spans="1:7" ht="15.75" customHeight="1" x14ac:dyDescent="0.35">
      <c r="A138" s="27"/>
      <c r="B138" s="28"/>
      <c r="C138" s="28"/>
      <c r="D138" s="28"/>
      <c r="E138" s="28"/>
      <c r="F138" s="28"/>
      <c r="G138" s="28"/>
    </row>
    <row r="139" spans="1:7" ht="15.75" customHeight="1" x14ac:dyDescent="0.35">
      <c r="A139" s="27"/>
      <c r="B139" s="28"/>
      <c r="C139" s="28"/>
      <c r="D139" s="28"/>
      <c r="E139" s="28"/>
      <c r="F139" s="28"/>
      <c r="G139" s="28"/>
    </row>
    <row r="140" spans="1:7" ht="15.75" customHeight="1" x14ac:dyDescent="0.35">
      <c r="A140" s="27"/>
      <c r="B140" s="28"/>
      <c r="C140" s="28"/>
      <c r="D140" s="28"/>
      <c r="E140" s="28"/>
      <c r="F140" s="28"/>
      <c r="G140" s="28"/>
    </row>
    <row r="141" spans="1:7" ht="15.75" customHeight="1" x14ac:dyDescent="0.35">
      <c r="A141" s="27"/>
      <c r="B141" s="28"/>
      <c r="C141" s="28"/>
      <c r="D141" s="28"/>
      <c r="E141" s="28"/>
      <c r="F141" s="28"/>
      <c r="G141" s="28"/>
    </row>
    <row r="142" spans="1:7" ht="15.75" customHeight="1" x14ac:dyDescent="0.35">
      <c r="A142" s="27"/>
      <c r="B142" s="28"/>
      <c r="C142" s="28"/>
      <c r="D142" s="28"/>
      <c r="E142" s="28"/>
      <c r="F142" s="28"/>
      <c r="G142" s="28"/>
    </row>
    <row r="143" spans="1:7" ht="15.75" customHeight="1" x14ac:dyDescent="0.35">
      <c r="A143" s="27"/>
      <c r="B143" s="28"/>
      <c r="C143" s="28"/>
      <c r="D143" s="28"/>
      <c r="E143" s="28"/>
      <c r="F143" s="28"/>
      <c r="G143" s="28"/>
    </row>
    <row r="144" spans="1:7" ht="15.75" customHeight="1" x14ac:dyDescent="0.35">
      <c r="A144" s="27"/>
      <c r="B144" s="28"/>
      <c r="C144" s="28"/>
      <c r="D144" s="28"/>
      <c r="E144" s="28"/>
      <c r="F144" s="28"/>
      <c r="G144" s="28"/>
    </row>
    <row r="145" spans="1:7" ht="15.75" customHeight="1" x14ac:dyDescent="0.35">
      <c r="A145" s="27"/>
      <c r="B145" s="28"/>
      <c r="C145" s="28"/>
      <c r="D145" s="28"/>
      <c r="E145" s="28"/>
      <c r="F145" s="28"/>
      <c r="G145" s="28"/>
    </row>
    <row r="146" spans="1:7" ht="15.75" customHeight="1" x14ac:dyDescent="0.35">
      <c r="A146" s="27"/>
      <c r="B146" s="28"/>
      <c r="C146" s="28"/>
      <c r="D146" s="28"/>
      <c r="E146" s="28"/>
      <c r="F146" s="28"/>
      <c r="G146" s="28"/>
    </row>
    <row r="147" spans="1:7" ht="15.75" customHeight="1" x14ac:dyDescent="0.35">
      <c r="A147" s="27"/>
      <c r="B147" s="28"/>
      <c r="C147" s="28"/>
      <c r="D147" s="28"/>
      <c r="E147" s="28"/>
      <c r="F147" s="28"/>
      <c r="G147" s="28"/>
    </row>
    <row r="148" spans="1:7" ht="15.75" customHeight="1" x14ac:dyDescent="0.35">
      <c r="A148" s="27"/>
      <c r="B148" s="28"/>
      <c r="C148" s="28"/>
      <c r="D148" s="28"/>
      <c r="E148" s="28"/>
      <c r="F148" s="28"/>
      <c r="G148" s="28"/>
    </row>
    <row r="149" spans="1:7" ht="15.75" customHeight="1" x14ac:dyDescent="0.35">
      <c r="A149" s="27"/>
      <c r="B149" s="28"/>
      <c r="C149" s="28"/>
      <c r="D149" s="28"/>
      <c r="E149" s="28"/>
      <c r="F149" s="28"/>
      <c r="G149" s="28"/>
    </row>
    <row r="150" spans="1:7" ht="15.75" customHeight="1" x14ac:dyDescent="0.35">
      <c r="A150" s="27"/>
      <c r="B150" s="28"/>
      <c r="C150" s="28"/>
      <c r="D150" s="28"/>
      <c r="E150" s="28"/>
      <c r="F150" s="28"/>
      <c r="G150" s="28"/>
    </row>
    <row r="151" spans="1:7" ht="15.75" customHeight="1" x14ac:dyDescent="0.35">
      <c r="A151" s="27"/>
      <c r="B151" s="28"/>
      <c r="C151" s="28"/>
      <c r="D151" s="28"/>
      <c r="E151" s="28"/>
      <c r="F151" s="28"/>
      <c r="G151" s="28"/>
    </row>
    <row r="152" spans="1:7" ht="15.75" customHeight="1" x14ac:dyDescent="0.35">
      <c r="A152" s="27"/>
      <c r="B152" s="28"/>
      <c r="C152" s="28"/>
      <c r="D152" s="28"/>
      <c r="E152" s="28"/>
      <c r="F152" s="28"/>
      <c r="G152" s="28"/>
    </row>
    <row r="153" spans="1:7" ht="15.75" customHeight="1" x14ac:dyDescent="0.35">
      <c r="A153" s="27"/>
      <c r="B153" s="28"/>
      <c r="C153" s="28"/>
      <c r="D153" s="28"/>
      <c r="E153" s="28"/>
      <c r="F153" s="28"/>
      <c r="G153" s="28"/>
    </row>
    <row r="154" spans="1:7" ht="15.75" customHeight="1" x14ac:dyDescent="0.35">
      <c r="A154" s="27"/>
      <c r="B154" s="28"/>
      <c r="C154" s="28"/>
      <c r="D154" s="28"/>
      <c r="E154" s="28"/>
      <c r="F154" s="28"/>
      <c r="G154" s="28"/>
    </row>
    <row r="155" spans="1:7" ht="15.75" customHeight="1" x14ac:dyDescent="0.35">
      <c r="A155" s="27"/>
      <c r="B155" s="28"/>
      <c r="C155" s="28"/>
      <c r="D155" s="28"/>
      <c r="E155" s="28"/>
      <c r="F155" s="28"/>
      <c r="G155" s="28"/>
    </row>
    <row r="156" spans="1:7" ht="15.75" customHeight="1" x14ac:dyDescent="0.35">
      <c r="A156" s="27"/>
      <c r="B156" s="28"/>
      <c r="C156" s="28"/>
      <c r="D156" s="28"/>
      <c r="E156" s="28"/>
      <c r="F156" s="28"/>
      <c r="G156" s="28"/>
    </row>
    <row r="157" spans="1:7" ht="15.75" customHeight="1" x14ac:dyDescent="0.35">
      <c r="A157" s="27"/>
      <c r="B157" s="28"/>
      <c r="C157" s="28"/>
      <c r="D157" s="28"/>
      <c r="E157" s="28"/>
      <c r="F157" s="28"/>
      <c r="G157" s="28"/>
    </row>
    <row r="158" spans="1:7" ht="15.75" customHeight="1" x14ac:dyDescent="0.35">
      <c r="A158" s="27"/>
      <c r="B158" s="28"/>
      <c r="C158" s="28"/>
      <c r="D158" s="28"/>
      <c r="E158" s="28"/>
      <c r="F158" s="28"/>
      <c r="G158" s="28"/>
    </row>
    <row r="159" spans="1:7" ht="15.75" customHeight="1" x14ac:dyDescent="0.35">
      <c r="A159" s="27"/>
      <c r="B159" s="28"/>
      <c r="C159" s="28"/>
      <c r="D159" s="28"/>
      <c r="E159" s="28"/>
      <c r="F159" s="28"/>
      <c r="G159" s="28"/>
    </row>
    <row r="160" spans="1:7" ht="15.75" customHeight="1" x14ac:dyDescent="0.35">
      <c r="A160" s="27"/>
      <c r="B160" s="28"/>
      <c r="C160" s="28"/>
      <c r="D160" s="28"/>
      <c r="E160" s="28"/>
      <c r="F160" s="28"/>
      <c r="G160" s="28"/>
    </row>
    <row r="161" spans="1:7" ht="15.75" customHeight="1" x14ac:dyDescent="0.35">
      <c r="A161" s="27"/>
      <c r="B161" s="28"/>
      <c r="C161" s="28"/>
      <c r="D161" s="28"/>
      <c r="E161" s="28"/>
      <c r="F161" s="28"/>
      <c r="G161" s="28"/>
    </row>
    <row r="162" spans="1:7" ht="15.75" customHeight="1" x14ac:dyDescent="0.35">
      <c r="A162" s="27"/>
      <c r="B162" s="28"/>
      <c r="C162" s="28"/>
      <c r="D162" s="28"/>
      <c r="E162" s="28"/>
      <c r="F162" s="28"/>
      <c r="G162" s="28"/>
    </row>
    <row r="163" spans="1:7" ht="15.75" customHeight="1" x14ac:dyDescent="0.35">
      <c r="A163" s="27"/>
      <c r="B163" s="28"/>
      <c r="C163" s="28"/>
      <c r="D163" s="28"/>
      <c r="E163" s="28"/>
      <c r="F163" s="28"/>
      <c r="G163" s="28"/>
    </row>
    <row r="164" spans="1:7" ht="15.75" customHeight="1" x14ac:dyDescent="0.35">
      <c r="A164" s="27"/>
      <c r="B164" s="28"/>
      <c r="C164" s="28"/>
      <c r="D164" s="28"/>
      <c r="E164" s="28"/>
      <c r="F164" s="28"/>
      <c r="G164" s="28"/>
    </row>
    <row r="165" spans="1:7" ht="15.75" customHeight="1" x14ac:dyDescent="0.35">
      <c r="A165" s="27"/>
      <c r="B165" s="28"/>
      <c r="C165" s="28"/>
      <c r="D165" s="28"/>
      <c r="E165" s="28"/>
      <c r="F165" s="28"/>
      <c r="G165" s="28"/>
    </row>
    <row r="166" spans="1:7" ht="15.75" customHeight="1" x14ac:dyDescent="0.35">
      <c r="A166" s="27"/>
      <c r="B166" s="28"/>
      <c r="C166" s="28"/>
      <c r="D166" s="28"/>
      <c r="E166" s="28"/>
      <c r="F166" s="28"/>
      <c r="G166" s="28"/>
    </row>
    <row r="167" spans="1:7" ht="15.75" customHeight="1" x14ac:dyDescent="0.35">
      <c r="A167" s="27"/>
      <c r="B167" s="28"/>
      <c r="C167" s="28"/>
      <c r="D167" s="28"/>
      <c r="E167" s="28"/>
      <c r="F167" s="28"/>
      <c r="G167" s="28"/>
    </row>
    <row r="168" spans="1:7" ht="15.75" customHeight="1" x14ac:dyDescent="0.35">
      <c r="A168" s="27"/>
      <c r="B168" s="28"/>
      <c r="C168" s="28"/>
      <c r="D168" s="28"/>
      <c r="E168" s="28"/>
      <c r="F168" s="28"/>
      <c r="G168" s="28"/>
    </row>
    <row r="169" spans="1:7" ht="15.75" customHeight="1" x14ac:dyDescent="0.35">
      <c r="A169" s="27"/>
      <c r="B169" s="28"/>
      <c r="C169" s="28"/>
      <c r="D169" s="28"/>
      <c r="E169" s="28"/>
      <c r="F169" s="28"/>
      <c r="G169" s="28"/>
    </row>
    <row r="170" spans="1:7" ht="15.75" customHeight="1" x14ac:dyDescent="0.35">
      <c r="A170" s="27"/>
      <c r="B170" s="28"/>
      <c r="C170" s="28"/>
      <c r="D170" s="28"/>
      <c r="E170" s="28"/>
      <c r="F170" s="28"/>
      <c r="G170" s="28"/>
    </row>
    <row r="171" spans="1:7" ht="15.75" customHeight="1" x14ac:dyDescent="0.35">
      <c r="A171" s="27"/>
      <c r="B171" s="28"/>
      <c r="C171" s="28"/>
      <c r="D171" s="28"/>
      <c r="E171" s="28"/>
      <c r="F171" s="28"/>
      <c r="G171" s="28"/>
    </row>
    <row r="172" spans="1:7" ht="15.75" customHeight="1" x14ac:dyDescent="0.35">
      <c r="A172" s="27"/>
      <c r="B172" s="28"/>
      <c r="C172" s="28"/>
      <c r="D172" s="28"/>
      <c r="E172" s="28"/>
      <c r="F172" s="28"/>
      <c r="G172" s="28"/>
    </row>
    <row r="173" spans="1:7" ht="15.75" customHeight="1" x14ac:dyDescent="0.35">
      <c r="A173" s="27"/>
      <c r="B173" s="28"/>
      <c r="C173" s="28"/>
      <c r="D173" s="28"/>
      <c r="E173" s="28"/>
      <c r="F173" s="28"/>
      <c r="G173" s="28"/>
    </row>
    <row r="174" spans="1:7" ht="15.75" customHeight="1" x14ac:dyDescent="0.35">
      <c r="A174" s="27"/>
      <c r="B174" s="28"/>
      <c r="C174" s="28"/>
      <c r="D174" s="28"/>
      <c r="E174" s="28"/>
      <c r="F174" s="28"/>
      <c r="G174" s="28"/>
    </row>
    <row r="175" spans="1:7" ht="15.75" customHeight="1" x14ac:dyDescent="0.35">
      <c r="A175" s="27"/>
      <c r="B175" s="28"/>
      <c r="C175" s="28"/>
      <c r="D175" s="28"/>
      <c r="E175" s="28"/>
      <c r="F175" s="28"/>
      <c r="G175" s="28"/>
    </row>
    <row r="176" spans="1:7" ht="15.75" customHeight="1" x14ac:dyDescent="0.35">
      <c r="A176" s="27"/>
      <c r="B176" s="28"/>
      <c r="C176" s="28"/>
      <c r="D176" s="28"/>
      <c r="E176" s="28"/>
      <c r="F176" s="28"/>
      <c r="G176" s="28"/>
    </row>
    <row r="177" spans="1:7" ht="15.75" customHeight="1" x14ac:dyDescent="0.35">
      <c r="A177" s="27"/>
      <c r="B177" s="28"/>
      <c r="C177" s="28"/>
      <c r="D177" s="28"/>
      <c r="E177" s="28"/>
      <c r="F177" s="28"/>
      <c r="G177" s="28"/>
    </row>
    <row r="178" spans="1:7" ht="15.75" customHeight="1" x14ac:dyDescent="0.35">
      <c r="A178" s="27"/>
      <c r="B178" s="28"/>
      <c r="C178" s="28"/>
      <c r="D178" s="28"/>
      <c r="E178" s="28"/>
      <c r="F178" s="28"/>
      <c r="G178" s="28"/>
    </row>
    <row r="179" spans="1:7" ht="15.75" customHeight="1" x14ac:dyDescent="0.35">
      <c r="A179" s="27"/>
      <c r="B179" s="28"/>
      <c r="C179" s="28"/>
      <c r="D179" s="28"/>
      <c r="E179" s="28"/>
      <c r="F179" s="28"/>
      <c r="G179" s="28"/>
    </row>
    <row r="180" spans="1:7" ht="15.75" customHeight="1" x14ac:dyDescent="0.35">
      <c r="A180" s="27"/>
      <c r="B180" s="28"/>
      <c r="C180" s="28"/>
      <c r="D180" s="28"/>
      <c r="E180" s="28"/>
      <c r="F180" s="28"/>
      <c r="G180" s="28"/>
    </row>
    <row r="181" spans="1:7" ht="15.75" customHeight="1" x14ac:dyDescent="0.35">
      <c r="A181" s="27"/>
      <c r="B181" s="28"/>
      <c r="C181" s="28"/>
      <c r="D181" s="28"/>
      <c r="E181" s="28"/>
      <c r="F181" s="28"/>
      <c r="G181" s="28"/>
    </row>
    <row r="182" spans="1:7" ht="15.75" customHeight="1" x14ac:dyDescent="0.35">
      <c r="A182" s="27"/>
      <c r="B182" s="28"/>
      <c r="C182" s="28"/>
      <c r="D182" s="28"/>
      <c r="E182" s="28"/>
      <c r="F182" s="28"/>
      <c r="G182" s="28"/>
    </row>
    <row r="183" spans="1:7" ht="15.75" customHeight="1" x14ac:dyDescent="0.35">
      <c r="A183" s="27"/>
      <c r="B183" s="28"/>
      <c r="C183" s="28"/>
      <c r="D183" s="28"/>
      <c r="E183" s="28"/>
      <c r="F183" s="28"/>
      <c r="G183" s="28"/>
    </row>
    <row r="184" spans="1:7" ht="15.75" customHeight="1" x14ac:dyDescent="0.35">
      <c r="A184" s="27"/>
      <c r="B184" s="28"/>
      <c r="C184" s="28"/>
      <c r="D184" s="28"/>
      <c r="E184" s="28"/>
      <c r="F184" s="28"/>
      <c r="G184" s="28"/>
    </row>
    <row r="185" spans="1:7" ht="15.75" customHeight="1" x14ac:dyDescent="0.35">
      <c r="A185" s="27"/>
      <c r="B185" s="28"/>
      <c r="C185" s="28"/>
      <c r="D185" s="28"/>
      <c r="E185" s="28"/>
      <c r="F185" s="28"/>
      <c r="G185" s="28"/>
    </row>
    <row r="186" spans="1:7" ht="15.75" customHeight="1" x14ac:dyDescent="0.35">
      <c r="A186" s="27"/>
      <c r="B186" s="28"/>
      <c r="C186" s="28"/>
      <c r="D186" s="28"/>
      <c r="E186" s="28"/>
      <c r="F186" s="28"/>
      <c r="G186" s="28"/>
    </row>
    <row r="187" spans="1:7" ht="15.75" customHeight="1" x14ac:dyDescent="0.35">
      <c r="A187" s="27"/>
      <c r="B187" s="28"/>
      <c r="C187" s="28"/>
      <c r="D187" s="28"/>
      <c r="E187" s="28"/>
      <c r="F187" s="28"/>
      <c r="G187" s="28"/>
    </row>
    <row r="188" spans="1:7" ht="15.75" customHeight="1" x14ac:dyDescent="0.35">
      <c r="A188" s="27"/>
      <c r="B188" s="28"/>
      <c r="C188" s="28"/>
      <c r="D188" s="28"/>
      <c r="E188" s="28"/>
      <c r="F188" s="28"/>
      <c r="G188" s="28"/>
    </row>
    <row r="189" spans="1:7" ht="15.75" customHeight="1" x14ac:dyDescent="0.35">
      <c r="A189" s="27"/>
      <c r="B189" s="28"/>
      <c r="C189" s="28"/>
      <c r="D189" s="28"/>
      <c r="E189" s="28"/>
      <c r="F189" s="28"/>
      <c r="G189" s="28"/>
    </row>
    <row r="190" spans="1:7" ht="15.75" customHeight="1" x14ac:dyDescent="0.3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3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3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3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3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3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3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3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3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3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3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3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3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3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3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3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3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3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3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3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3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3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3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3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3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3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3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3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3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3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3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3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3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3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3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3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3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3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3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3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3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3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3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3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3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3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3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3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3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3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3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3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3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3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3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3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3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3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3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3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3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3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3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3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3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3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3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3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3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3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3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3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3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3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3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3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3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3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3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3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3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3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3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3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3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3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3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3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3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3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3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3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3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3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3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3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3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3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3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3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3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3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3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3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3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3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3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3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3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3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3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3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3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3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3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3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3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3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3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3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3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3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3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3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3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3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3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3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3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3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3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3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3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3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3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3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3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3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3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3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3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3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3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3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3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3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3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3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3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3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3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3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3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3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3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3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3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3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3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3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3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3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3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3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3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3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3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3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3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3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3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3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3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3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3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3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3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3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3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3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3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3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3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3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3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3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3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3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3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3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3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3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3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3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3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3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3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3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3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3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3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3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3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3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3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3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3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3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3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3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3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3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3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3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3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3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3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3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3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3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3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3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3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3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3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3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3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3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3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3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3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3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3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3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3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3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3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3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3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3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3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3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3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3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3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3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3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3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3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3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3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3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3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3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3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3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3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3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3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3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3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3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3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3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3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3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3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3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3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3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3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3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3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3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3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3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3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3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3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3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3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3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3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3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3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3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3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3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3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3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3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3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3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3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3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3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3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3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3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3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3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3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3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3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3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3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3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3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3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3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3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3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3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3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3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3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3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3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3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3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3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3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3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3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3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3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3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3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3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3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3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3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3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3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3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3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3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3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3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3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3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3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3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3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3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3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3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3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3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3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3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3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3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3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3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3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3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3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3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3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3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3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3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3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3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3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3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3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3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3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3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3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3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3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3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3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3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3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3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3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3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3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3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3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3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3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3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3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3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3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3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3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3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3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3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3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3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3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3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3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3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3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3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3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3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3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3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3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3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3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3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3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3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3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3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3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3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3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3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3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3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3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3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3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3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3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3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3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3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3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3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3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3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3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3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3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3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3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3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3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3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3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3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3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3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3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3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3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3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3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3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3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3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3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3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3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3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3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3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3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3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3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3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3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3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3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3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3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3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3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3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3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3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3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3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3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3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3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3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3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3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3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3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3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3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3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3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3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3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3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3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3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3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3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3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3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3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3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3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3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3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3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3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3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3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3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3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3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3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3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3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3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3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3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3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3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3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3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3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3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3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3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3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3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3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3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3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3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3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3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3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3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3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3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3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3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3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3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3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3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3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3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3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3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3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3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3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3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3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3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3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3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3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3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3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3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3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3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3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3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3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3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3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3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3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3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3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3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3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3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3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3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3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3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3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3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3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3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3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3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3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3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3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3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3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3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3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3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3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3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3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3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3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3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3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3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3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3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3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3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3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3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3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3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3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3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3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3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3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3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3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3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3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3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3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3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3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3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3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3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3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3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3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3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3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3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3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3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3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3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3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3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3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3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3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3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3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3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3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3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3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3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3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3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3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3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3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3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3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3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3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3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3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3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3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3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3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3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3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3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3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3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3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3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3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3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3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3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3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3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3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3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3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3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3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3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3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3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3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3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3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3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3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3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3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3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3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3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3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3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3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3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3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3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3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3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3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3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3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3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3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3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3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3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3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3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3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3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3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3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3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3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3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3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3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3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3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3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3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3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3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3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3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3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3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3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3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3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3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3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3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3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3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3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3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3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3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3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3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3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3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3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3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3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3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3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3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3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3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3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3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3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3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3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3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3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3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3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3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3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3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3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3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3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3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3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3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3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3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3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3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3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3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3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3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3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3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3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3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3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3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3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3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3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3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3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3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3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3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3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3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3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3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3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3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3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3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3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3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3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3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3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3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3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3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3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3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3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3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3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3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pane ySplit="1" topLeftCell="A682" activePane="bottomLeft" state="frozen"/>
      <selection pane="bottomLeft" activeCell="G459" sqref="G459"/>
    </sheetView>
  </sheetViews>
  <sheetFormatPr baseColWidth="10" defaultColWidth="14.453125" defaultRowHeight="15" customHeight="1" x14ac:dyDescent="0.35"/>
  <cols>
    <col min="1" max="1" width="10.453125" customWidth="1"/>
    <col min="2" max="2" width="12.6328125" customWidth="1"/>
    <col min="3" max="3" width="9.453125" customWidth="1"/>
    <col min="4" max="4" width="22.453125" customWidth="1"/>
    <col min="5" max="25" width="10.6328125" customWidth="1"/>
  </cols>
  <sheetData>
    <row r="1" spans="1:4" ht="14.5" x14ac:dyDescent="0.35">
      <c r="A1" s="29" t="s">
        <v>23</v>
      </c>
      <c r="B1" s="30" t="s">
        <v>24</v>
      </c>
      <c r="C1" s="31" t="s">
        <v>25</v>
      </c>
      <c r="D1" s="29" t="s">
        <v>26</v>
      </c>
    </row>
    <row r="2" spans="1:4" ht="14.5" x14ac:dyDescent="0.35">
      <c r="A2" s="29">
        <v>16</v>
      </c>
      <c r="B2" s="30">
        <v>5.22</v>
      </c>
      <c r="C2" s="32">
        <v>48.26</v>
      </c>
      <c r="D2" s="29" t="s">
        <v>8</v>
      </c>
    </row>
    <row r="3" spans="1:4" ht="14.5" x14ac:dyDescent="0.35">
      <c r="A3" s="29">
        <v>52</v>
      </c>
      <c r="B3" s="30">
        <v>6.17</v>
      </c>
      <c r="C3" s="32">
        <v>55.46</v>
      </c>
      <c r="D3" s="29" t="s">
        <v>8</v>
      </c>
    </row>
    <row r="4" spans="1:4" ht="14.5" x14ac:dyDescent="0.35">
      <c r="A4" s="29">
        <v>58</v>
      </c>
      <c r="B4" s="30">
        <v>5.36</v>
      </c>
      <c r="C4" s="32">
        <v>53.2</v>
      </c>
      <c r="D4" s="29" t="s">
        <v>8</v>
      </c>
    </row>
    <row r="5" spans="1:4" ht="14.5" x14ac:dyDescent="0.35">
      <c r="A5" s="29">
        <v>11</v>
      </c>
      <c r="B5" s="30">
        <v>5.46</v>
      </c>
      <c r="C5" s="32">
        <v>47.61</v>
      </c>
      <c r="D5" s="29" t="s">
        <v>8</v>
      </c>
    </row>
    <row r="6" spans="1:4" ht="14.5" x14ac:dyDescent="0.35">
      <c r="A6" s="29">
        <v>25</v>
      </c>
      <c r="B6" s="30">
        <v>9.77</v>
      </c>
      <c r="C6" s="32">
        <v>81.569999999999993</v>
      </c>
      <c r="D6" s="29" t="s">
        <v>8</v>
      </c>
    </row>
    <row r="7" spans="1:4" ht="14.5" x14ac:dyDescent="0.35">
      <c r="A7" s="29">
        <v>40</v>
      </c>
      <c r="B7" s="30">
        <v>6.96</v>
      </c>
      <c r="C7" s="32">
        <v>63.5</v>
      </c>
      <c r="D7" s="29" t="s">
        <v>8</v>
      </c>
    </row>
    <row r="8" spans="1:4" ht="14.5" x14ac:dyDescent="0.35">
      <c r="A8" s="29">
        <v>8</v>
      </c>
      <c r="B8" s="30">
        <v>5.64</v>
      </c>
      <c r="C8" s="32">
        <v>46.17</v>
      </c>
      <c r="D8" s="29" t="s">
        <v>8</v>
      </c>
    </row>
    <row r="9" spans="1:4" ht="14.5" x14ac:dyDescent="0.35">
      <c r="A9" s="29">
        <v>1</v>
      </c>
      <c r="B9" s="30">
        <v>4.5599999999999996</v>
      </c>
      <c r="C9" s="32">
        <v>46.9</v>
      </c>
      <c r="D9" s="29" t="s">
        <v>8</v>
      </c>
    </row>
    <row r="10" spans="1:4" ht="14.5" x14ac:dyDescent="0.35">
      <c r="A10" s="29">
        <v>36</v>
      </c>
      <c r="B10" s="30">
        <v>5.2</v>
      </c>
      <c r="C10" s="32">
        <v>39.99</v>
      </c>
      <c r="D10" s="29" t="s">
        <v>8</v>
      </c>
    </row>
    <row r="11" spans="1:4" ht="14.5" x14ac:dyDescent="0.35">
      <c r="A11" s="29">
        <v>14</v>
      </c>
      <c r="B11" s="30">
        <v>6.28</v>
      </c>
      <c r="C11" s="32">
        <v>58.85</v>
      </c>
      <c r="D11" s="29" t="s">
        <v>8</v>
      </c>
    </row>
    <row r="12" spans="1:4" ht="14.5" x14ac:dyDescent="0.35">
      <c r="A12" s="29">
        <v>17</v>
      </c>
      <c r="B12" s="30">
        <v>6.06</v>
      </c>
      <c r="C12" s="32">
        <v>55.41</v>
      </c>
      <c r="D12" s="29" t="s">
        <v>8</v>
      </c>
    </row>
    <row r="13" spans="1:4" ht="14.5" x14ac:dyDescent="0.35">
      <c r="A13" s="29">
        <v>19</v>
      </c>
      <c r="B13" s="30">
        <v>6.57</v>
      </c>
      <c r="C13" s="32">
        <v>64.61</v>
      </c>
      <c r="D13" s="29" t="s">
        <v>8</v>
      </c>
    </row>
    <row r="14" spans="1:4" ht="14.5" x14ac:dyDescent="0.35">
      <c r="A14" s="29">
        <v>36</v>
      </c>
      <c r="B14" s="30">
        <v>4.24</v>
      </c>
      <c r="C14" s="32">
        <v>45.75</v>
      </c>
      <c r="D14" s="29" t="s">
        <v>8</v>
      </c>
    </row>
    <row r="15" spans="1:4" ht="14.5" x14ac:dyDescent="0.35">
      <c r="A15" s="29">
        <v>45</v>
      </c>
      <c r="B15" s="30">
        <v>8.7100000000000009</v>
      </c>
      <c r="C15" s="32">
        <v>73.91</v>
      </c>
      <c r="D15" s="29" t="s">
        <v>8</v>
      </c>
    </row>
    <row r="16" spans="1:4" ht="14.5" x14ac:dyDescent="0.35">
      <c r="A16" s="29">
        <v>3</v>
      </c>
      <c r="B16" s="30">
        <v>6.22</v>
      </c>
      <c r="C16" s="32">
        <v>51.33</v>
      </c>
      <c r="D16" s="29" t="s">
        <v>8</v>
      </c>
    </row>
    <row r="17" spans="1:4" ht="14.5" x14ac:dyDescent="0.35">
      <c r="A17" s="29">
        <v>39</v>
      </c>
      <c r="B17" s="30">
        <v>5.47</v>
      </c>
      <c r="C17" s="32">
        <v>49.61</v>
      </c>
      <c r="D17" s="29" t="s">
        <v>8</v>
      </c>
    </row>
    <row r="18" spans="1:4" ht="14.5" x14ac:dyDescent="0.35">
      <c r="A18" s="29">
        <v>15</v>
      </c>
      <c r="B18" s="30">
        <v>9.98</v>
      </c>
      <c r="C18" s="32">
        <v>83.73</v>
      </c>
      <c r="D18" s="29" t="s">
        <v>8</v>
      </c>
    </row>
    <row r="19" spans="1:4" ht="14.5" x14ac:dyDescent="0.35">
      <c r="A19" s="29">
        <v>28</v>
      </c>
      <c r="B19" s="30">
        <v>5.39</v>
      </c>
      <c r="C19" s="32">
        <v>44.63</v>
      </c>
      <c r="D19" s="29" t="s">
        <v>8</v>
      </c>
    </row>
    <row r="20" spans="1:4" ht="14.5" x14ac:dyDescent="0.35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35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35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35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35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35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35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35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35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35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35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35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35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35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35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35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35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35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35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35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35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35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35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35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35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35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35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35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35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35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35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35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35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35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35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35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35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35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35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35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35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35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35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35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35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35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35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35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35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35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35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35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35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35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35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35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35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35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35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35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35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35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35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35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35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35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35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35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35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35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35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35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35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35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35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35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35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35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35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35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35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35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35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35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35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35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35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35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35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35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35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35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35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35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35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35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35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35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35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35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35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35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35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35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35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35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35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35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35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35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35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35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35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35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35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35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35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35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35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35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35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35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35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35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35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35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35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35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35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35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35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35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35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35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35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35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35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35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35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35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35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35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35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35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35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35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35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35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35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35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35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35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35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35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35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35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35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35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35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35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35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35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35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35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35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35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35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35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35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35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35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35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35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35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35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35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35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35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35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35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35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35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35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35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35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35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35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35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35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35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35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35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35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35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35">
      <c r="A214" s="29">
        <v>15</v>
      </c>
      <c r="B214" s="30">
        <v>4.1399999999999997</v>
      </c>
      <c r="C214" s="32">
        <v>35.78</v>
      </c>
      <c r="D214" s="48" t="s">
        <v>8</v>
      </c>
    </row>
    <row r="215" spans="1:4" ht="15.75" customHeight="1" x14ac:dyDescent="0.35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35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35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35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35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35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35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35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35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35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35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35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35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35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35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35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35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35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35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35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35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35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35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35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35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35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35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35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35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35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35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35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35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35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35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35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35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35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35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35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35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35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35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35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35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35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35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35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35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35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35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35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35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35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35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35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35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35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35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35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35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35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35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35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35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35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35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35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35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35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35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35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35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35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35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35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35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35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35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35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35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35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35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35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35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3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35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35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35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35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35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35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35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35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35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35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35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35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35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35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35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35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35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3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35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35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35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35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35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35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35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35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35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35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35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35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35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35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35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35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35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35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35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35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35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35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35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35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35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35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35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35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35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35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35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35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35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35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35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35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35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35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35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35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35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35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35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35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35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35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35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35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35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35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35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35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35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35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35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35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35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35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35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35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35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35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35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35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35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35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35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35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35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35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35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35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35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35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35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35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35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35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35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35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35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35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35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35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35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35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35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35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35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35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35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35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35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35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35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35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35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35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35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35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35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35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35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35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35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35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35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35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35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35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35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35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35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35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35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35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35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35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35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35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35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35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35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35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35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35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35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35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35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35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35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35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35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35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35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35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35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35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35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35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35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35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35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35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35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35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35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35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35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35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35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35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35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35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35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35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35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35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35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35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35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35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35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35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35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35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35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35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35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35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35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35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35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35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35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35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35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35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35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35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35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35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35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35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35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35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35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35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35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35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35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35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35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35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35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35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35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35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35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35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35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35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35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35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35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35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35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35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35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35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35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35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35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35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35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35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35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35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35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35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35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35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35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35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35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35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35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35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35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35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35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35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35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35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35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35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35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35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35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35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35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35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35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35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35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35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35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35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35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35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35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35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35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35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35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35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35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35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35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35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35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35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35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35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35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35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35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35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35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35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35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35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35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35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35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35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35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35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35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35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35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35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35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35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35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35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35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35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35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35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35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35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35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35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35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35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35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35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35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35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35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35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35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35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35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35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35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35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35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35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35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35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35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35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35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35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35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35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35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35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35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35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35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35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35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35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35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35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35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35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35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35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35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35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35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35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35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35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35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35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35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35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35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35">
      <c r="A662" s="29"/>
      <c r="B662" s="29"/>
      <c r="C662" s="29"/>
      <c r="D662" s="29"/>
    </row>
    <row r="663" spans="1:4" ht="15.75" customHeight="1" x14ac:dyDescent="0.35">
      <c r="A663" s="29"/>
      <c r="B663" s="29"/>
      <c r="C663" s="29"/>
      <c r="D663" s="29"/>
    </row>
    <row r="664" spans="1:4" ht="15.75" customHeight="1" x14ac:dyDescent="0.35">
      <c r="A664" s="29"/>
      <c r="B664" s="29"/>
      <c r="C664" s="29"/>
      <c r="D664" s="29"/>
    </row>
    <row r="665" spans="1:4" ht="15.75" customHeight="1" x14ac:dyDescent="0.35">
      <c r="A665" s="29"/>
      <c r="B665" s="29"/>
      <c r="C665" s="29"/>
      <c r="D665" s="29"/>
    </row>
    <row r="666" spans="1:4" ht="15.75" customHeight="1" x14ac:dyDescent="0.35">
      <c r="A666" s="29"/>
      <c r="B666" s="29"/>
      <c r="C666" s="29"/>
      <c r="D666" s="29"/>
    </row>
    <row r="667" spans="1:4" ht="15.75" customHeight="1" x14ac:dyDescent="0.35">
      <c r="A667" s="29"/>
      <c r="B667" s="29"/>
      <c r="C667" s="29"/>
      <c r="D667" s="29"/>
    </row>
    <row r="668" spans="1:4" ht="15.75" customHeight="1" x14ac:dyDescent="0.35">
      <c r="A668" s="29"/>
      <c r="B668" s="29"/>
      <c r="C668" s="29"/>
      <c r="D668" s="29"/>
    </row>
    <row r="669" spans="1:4" ht="15.75" customHeight="1" x14ac:dyDescent="0.35">
      <c r="A669" s="29"/>
      <c r="B669" s="29"/>
      <c r="C669" s="29"/>
      <c r="D669" s="29"/>
    </row>
    <row r="670" spans="1:4" ht="15.75" customHeight="1" x14ac:dyDescent="0.35">
      <c r="A670" s="29"/>
      <c r="B670" s="29"/>
      <c r="C670" s="29"/>
      <c r="D670" s="29"/>
    </row>
    <row r="671" spans="1:4" ht="15.75" customHeight="1" x14ac:dyDescent="0.35">
      <c r="A671" s="29"/>
      <c r="B671" s="29"/>
      <c r="C671" s="29"/>
      <c r="D671" s="29"/>
    </row>
    <row r="672" spans="1:4" ht="15.75" customHeight="1" x14ac:dyDescent="0.35">
      <c r="A672" s="29"/>
      <c r="B672" s="29"/>
      <c r="C672" s="29"/>
      <c r="D672" s="29"/>
    </row>
    <row r="673" spans="1:4" ht="15.75" customHeight="1" x14ac:dyDescent="0.35">
      <c r="A673" s="29"/>
      <c r="B673" s="29"/>
      <c r="C673" s="29"/>
      <c r="D673" s="29"/>
    </row>
    <row r="674" spans="1:4" ht="15.75" customHeight="1" x14ac:dyDescent="0.35">
      <c r="A674" s="29"/>
      <c r="B674" s="29"/>
      <c r="C674" s="29"/>
      <c r="D674" s="29"/>
    </row>
    <row r="675" spans="1:4" ht="15.75" customHeight="1" x14ac:dyDescent="0.35">
      <c r="A675" s="29"/>
      <c r="B675" s="29"/>
      <c r="C675" s="29"/>
      <c r="D675" s="29"/>
    </row>
    <row r="676" spans="1:4" ht="15.75" customHeight="1" x14ac:dyDescent="0.35">
      <c r="A676" s="29"/>
      <c r="B676" s="29"/>
      <c r="C676" s="29"/>
      <c r="D676" s="29"/>
    </row>
    <row r="677" spans="1:4" ht="15.75" customHeight="1" x14ac:dyDescent="0.35">
      <c r="A677" s="29"/>
      <c r="B677" s="29"/>
      <c r="C677" s="29"/>
      <c r="D677" s="29"/>
    </row>
    <row r="678" spans="1:4" ht="15.75" customHeight="1" x14ac:dyDescent="0.35">
      <c r="A678" s="29"/>
      <c r="B678" s="29"/>
      <c r="C678" s="29"/>
      <c r="D678" s="29"/>
    </row>
    <row r="679" spans="1:4" ht="15.75" customHeight="1" x14ac:dyDescent="0.35">
      <c r="A679" s="29"/>
      <c r="B679" s="29"/>
      <c r="C679" s="29"/>
      <c r="D679" s="29"/>
    </row>
    <row r="680" spans="1:4" ht="15.75" customHeight="1" x14ac:dyDescent="0.35">
      <c r="A680" s="29"/>
      <c r="B680" s="29"/>
      <c r="C680" s="29"/>
      <c r="D680" s="29"/>
    </row>
    <row r="681" spans="1:4" ht="15.75" customHeight="1" x14ac:dyDescent="0.35">
      <c r="A681" s="29"/>
      <c r="B681" s="29"/>
      <c r="C681" s="29"/>
      <c r="D681" s="29"/>
    </row>
    <row r="682" spans="1:4" ht="15.75" customHeight="1" x14ac:dyDescent="0.35">
      <c r="A682" s="29"/>
      <c r="B682" s="29"/>
      <c r="C682" s="29"/>
      <c r="D682" s="29"/>
    </row>
    <row r="683" spans="1:4" ht="15.75" customHeight="1" x14ac:dyDescent="0.35">
      <c r="A683" s="29"/>
      <c r="B683" s="29"/>
      <c r="C683" s="29"/>
      <c r="D683" s="29"/>
    </row>
    <row r="684" spans="1:4" ht="15.75" customHeight="1" x14ac:dyDescent="0.35">
      <c r="A684" s="29"/>
      <c r="B684" s="29"/>
      <c r="C684" s="29"/>
      <c r="D684" s="29"/>
    </row>
    <row r="685" spans="1:4" ht="15.75" customHeight="1" x14ac:dyDescent="0.35">
      <c r="A685" s="29"/>
      <c r="B685" s="29"/>
      <c r="C685" s="29"/>
      <c r="D685" s="29"/>
    </row>
    <row r="686" spans="1:4" ht="15.75" customHeight="1" x14ac:dyDescent="0.35">
      <c r="A686" s="29"/>
      <c r="B686" s="29"/>
      <c r="C686" s="29"/>
      <c r="D686" s="29"/>
    </row>
    <row r="687" spans="1:4" ht="15.75" customHeight="1" x14ac:dyDescent="0.35">
      <c r="A687" s="29"/>
      <c r="B687" s="29"/>
      <c r="C687" s="29"/>
      <c r="D687" s="29"/>
    </row>
    <row r="688" spans="1:4" ht="15.75" customHeight="1" x14ac:dyDescent="0.35">
      <c r="A688" s="29"/>
      <c r="B688" s="29"/>
      <c r="C688" s="29"/>
      <c r="D688" s="29"/>
    </row>
    <row r="689" spans="1:4" ht="15.75" customHeight="1" x14ac:dyDescent="0.35">
      <c r="A689" s="29"/>
      <c r="B689" s="29"/>
      <c r="C689" s="29"/>
      <c r="D689" s="29"/>
    </row>
    <row r="690" spans="1:4" ht="15.75" customHeight="1" x14ac:dyDescent="0.35">
      <c r="A690" s="29"/>
      <c r="B690" s="29"/>
      <c r="C690" s="29"/>
      <c r="D690" s="29"/>
    </row>
    <row r="691" spans="1:4" ht="15.75" customHeight="1" x14ac:dyDescent="0.35">
      <c r="A691" s="29"/>
      <c r="B691" s="29"/>
      <c r="C691" s="29"/>
      <c r="D691" s="29"/>
    </row>
    <row r="692" spans="1:4" ht="15.75" customHeight="1" x14ac:dyDescent="0.35">
      <c r="A692" s="29"/>
      <c r="B692" s="29"/>
      <c r="C692" s="29"/>
      <c r="D692" s="29"/>
    </row>
    <row r="693" spans="1:4" ht="15.75" customHeight="1" x14ac:dyDescent="0.35">
      <c r="A693" s="29"/>
      <c r="B693" s="29"/>
      <c r="C693" s="29"/>
      <c r="D693" s="29"/>
    </row>
    <row r="694" spans="1:4" ht="15.75" customHeight="1" x14ac:dyDescent="0.35">
      <c r="A694" s="29"/>
      <c r="B694" s="29"/>
      <c r="C694" s="29"/>
      <c r="D694" s="29"/>
    </row>
    <row r="695" spans="1:4" ht="15.75" customHeight="1" x14ac:dyDescent="0.35">
      <c r="A695" s="29"/>
      <c r="B695" s="29"/>
      <c r="C695" s="29"/>
      <c r="D695" s="29"/>
    </row>
    <row r="696" spans="1:4" ht="15.75" customHeight="1" x14ac:dyDescent="0.35">
      <c r="A696" s="29"/>
      <c r="B696" s="29"/>
      <c r="C696" s="29"/>
      <c r="D696" s="29"/>
    </row>
    <row r="697" spans="1:4" ht="15.75" customHeight="1" x14ac:dyDescent="0.35">
      <c r="A697" s="29"/>
      <c r="B697" s="29"/>
      <c r="C697" s="29"/>
      <c r="D697" s="29"/>
    </row>
    <row r="698" spans="1:4" ht="15.75" customHeight="1" x14ac:dyDescent="0.35">
      <c r="A698" s="29"/>
      <c r="B698" s="29"/>
      <c r="C698" s="29"/>
      <c r="D698" s="29"/>
    </row>
    <row r="699" spans="1:4" ht="15.75" customHeight="1" x14ac:dyDescent="0.35">
      <c r="A699" s="29"/>
      <c r="B699" s="29"/>
      <c r="C699" s="29"/>
      <c r="D699" s="29"/>
    </row>
    <row r="700" spans="1:4" ht="15.75" customHeight="1" x14ac:dyDescent="0.35">
      <c r="A700" s="29"/>
      <c r="B700" s="29"/>
      <c r="C700" s="29"/>
      <c r="D700" s="29"/>
    </row>
    <row r="701" spans="1:4" ht="15.75" customHeight="1" x14ac:dyDescent="0.35">
      <c r="A701" s="29"/>
      <c r="B701" s="29"/>
      <c r="C701" s="29"/>
      <c r="D701" s="29"/>
    </row>
    <row r="702" spans="1:4" ht="15.75" customHeight="1" x14ac:dyDescent="0.35">
      <c r="A702" s="29"/>
      <c r="B702" s="29"/>
      <c r="C702" s="29"/>
      <c r="D702" s="29"/>
    </row>
    <row r="703" spans="1:4" ht="15.75" customHeight="1" x14ac:dyDescent="0.35">
      <c r="A703" s="29"/>
      <c r="B703" s="29"/>
      <c r="C703" s="29"/>
      <c r="D703" s="29"/>
    </row>
    <row r="704" spans="1:4" ht="15.75" customHeight="1" x14ac:dyDescent="0.35">
      <c r="A704" s="29"/>
      <c r="B704" s="29"/>
      <c r="C704" s="29"/>
      <c r="D704" s="29"/>
    </row>
    <row r="705" spans="1:4" ht="15.75" customHeight="1" x14ac:dyDescent="0.35">
      <c r="A705" s="29"/>
      <c r="B705" s="29"/>
      <c r="C705" s="29"/>
      <c r="D705" s="29"/>
    </row>
    <row r="706" spans="1:4" ht="15.75" customHeight="1" x14ac:dyDescent="0.35">
      <c r="A706" s="29"/>
      <c r="B706" s="29"/>
      <c r="C706" s="29"/>
      <c r="D706" s="29"/>
    </row>
    <row r="707" spans="1:4" ht="15.75" customHeight="1" x14ac:dyDescent="0.35">
      <c r="A707" s="29"/>
      <c r="B707" s="29"/>
      <c r="C707" s="29"/>
      <c r="D707" s="29"/>
    </row>
    <row r="708" spans="1:4" ht="15.75" customHeight="1" x14ac:dyDescent="0.35">
      <c r="A708" s="29"/>
      <c r="B708" s="29"/>
      <c r="C708" s="29"/>
      <c r="D708" s="29"/>
    </row>
    <row r="709" spans="1:4" ht="15.75" customHeight="1" x14ac:dyDescent="0.35">
      <c r="A709" s="29"/>
      <c r="B709" s="29"/>
      <c r="C709" s="29"/>
      <c r="D709" s="29"/>
    </row>
    <row r="710" spans="1:4" ht="15.75" customHeight="1" x14ac:dyDescent="0.35">
      <c r="A710" s="29"/>
      <c r="B710" s="29"/>
      <c r="C710" s="29"/>
      <c r="D710" s="29"/>
    </row>
    <row r="711" spans="1:4" ht="15.75" customHeight="1" x14ac:dyDescent="0.35">
      <c r="A711" s="29"/>
      <c r="B711" s="29"/>
      <c r="C711" s="29"/>
      <c r="D711" s="29"/>
    </row>
    <row r="712" spans="1:4" ht="15.75" customHeight="1" x14ac:dyDescent="0.35">
      <c r="A712" s="29"/>
      <c r="B712" s="29"/>
      <c r="C712" s="29"/>
      <c r="D712" s="29"/>
    </row>
    <row r="713" spans="1:4" ht="15.75" customHeight="1" x14ac:dyDescent="0.35">
      <c r="A713" s="29"/>
      <c r="B713" s="29"/>
      <c r="C713" s="29"/>
      <c r="D713" s="29"/>
    </row>
    <row r="714" spans="1:4" ht="15.75" customHeight="1" x14ac:dyDescent="0.35">
      <c r="A714" s="29"/>
      <c r="B714" s="29"/>
      <c r="C714" s="29"/>
      <c r="D714" s="29"/>
    </row>
    <row r="715" spans="1:4" ht="15.75" customHeight="1" x14ac:dyDescent="0.35">
      <c r="A715" s="29"/>
      <c r="B715" s="29"/>
      <c r="C715" s="29"/>
      <c r="D715" s="29"/>
    </row>
    <row r="716" spans="1:4" ht="15.75" customHeight="1" x14ac:dyDescent="0.35">
      <c r="A716" s="29"/>
      <c r="B716" s="29"/>
      <c r="C716" s="29"/>
      <c r="D716" s="29"/>
    </row>
    <row r="717" spans="1:4" ht="15.75" customHeight="1" x14ac:dyDescent="0.35">
      <c r="A717" s="29"/>
      <c r="B717" s="29"/>
      <c r="C717" s="29"/>
      <c r="D717" s="29"/>
    </row>
    <row r="718" spans="1:4" ht="15.75" customHeight="1" x14ac:dyDescent="0.35">
      <c r="A718" s="29"/>
      <c r="B718" s="29"/>
      <c r="C718" s="29"/>
      <c r="D718" s="29"/>
    </row>
    <row r="719" spans="1:4" ht="15.75" customHeight="1" x14ac:dyDescent="0.35">
      <c r="A719" s="29"/>
      <c r="B719" s="29"/>
      <c r="C719" s="29"/>
      <c r="D719" s="29"/>
    </row>
    <row r="720" spans="1:4" ht="15.75" customHeight="1" x14ac:dyDescent="0.35">
      <c r="A720" s="29"/>
      <c r="B720" s="29"/>
      <c r="C720" s="29"/>
      <c r="D720" s="29"/>
    </row>
    <row r="721" spans="1:4" ht="15.75" customHeight="1" x14ac:dyDescent="0.35">
      <c r="A721" s="29"/>
      <c r="B721" s="29"/>
      <c r="C721" s="29"/>
      <c r="D721" s="29"/>
    </row>
    <row r="722" spans="1:4" ht="15.75" customHeight="1" x14ac:dyDescent="0.35">
      <c r="A722" s="29"/>
      <c r="B722" s="29"/>
      <c r="C722" s="29"/>
      <c r="D722" s="29"/>
    </row>
    <row r="723" spans="1:4" ht="15.75" customHeight="1" x14ac:dyDescent="0.35">
      <c r="A723" s="29"/>
      <c r="B723" s="29"/>
      <c r="C723" s="29"/>
      <c r="D723" s="29"/>
    </row>
    <row r="724" spans="1:4" ht="15.75" customHeight="1" x14ac:dyDescent="0.35">
      <c r="A724" s="29"/>
      <c r="B724" s="29"/>
      <c r="C724" s="29"/>
      <c r="D724" s="29"/>
    </row>
    <row r="725" spans="1:4" ht="15.75" customHeight="1" x14ac:dyDescent="0.35">
      <c r="A725" s="29"/>
      <c r="B725" s="29"/>
      <c r="C725" s="29"/>
      <c r="D725" s="29"/>
    </row>
    <row r="726" spans="1:4" ht="15.75" customHeight="1" x14ac:dyDescent="0.35">
      <c r="A726" s="29"/>
      <c r="B726" s="29"/>
      <c r="C726" s="29"/>
      <c r="D726" s="29"/>
    </row>
    <row r="727" spans="1:4" ht="15.75" customHeight="1" x14ac:dyDescent="0.35">
      <c r="A727" s="29"/>
      <c r="B727" s="29"/>
      <c r="C727" s="29"/>
      <c r="D727" s="29"/>
    </row>
    <row r="728" spans="1:4" ht="15.75" customHeight="1" x14ac:dyDescent="0.35">
      <c r="A728" s="29"/>
      <c r="B728" s="29"/>
      <c r="C728" s="29"/>
      <c r="D728" s="29"/>
    </row>
    <row r="729" spans="1:4" ht="15.75" customHeight="1" x14ac:dyDescent="0.35">
      <c r="A729" s="29"/>
      <c r="B729" s="29"/>
      <c r="C729" s="29"/>
      <c r="D729" s="29"/>
    </row>
    <row r="730" spans="1:4" ht="15.75" customHeight="1" x14ac:dyDescent="0.35">
      <c r="A730" s="29"/>
      <c r="B730" s="29"/>
      <c r="C730" s="29"/>
      <c r="D730" s="29"/>
    </row>
    <row r="731" spans="1:4" ht="15.75" customHeight="1" x14ac:dyDescent="0.35">
      <c r="A731" s="29"/>
      <c r="B731" s="29"/>
      <c r="C731" s="29"/>
      <c r="D731" s="29"/>
    </row>
    <row r="732" spans="1:4" ht="15.75" customHeight="1" x14ac:dyDescent="0.35">
      <c r="A732" s="29"/>
      <c r="B732" s="29"/>
      <c r="C732" s="29"/>
      <c r="D732" s="29"/>
    </row>
    <row r="733" spans="1:4" ht="15.75" customHeight="1" x14ac:dyDescent="0.35">
      <c r="A733" s="29"/>
      <c r="B733" s="29"/>
      <c r="C733" s="29"/>
      <c r="D733" s="29"/>
    </row>
    <row r="734" spans="1:4" ht="15.75" customHeight="1" x14ac:dyDescent="0.35">
      <c r="A734" s="29"/>
      <c r="B734" s="29"/>
      <c r="C734" s="29"/>
      <c r="D734" s="29"/>
    </row>
    <row r="735" spans="1:4" ht="15.75" customHeight="1" x14ac:dyDescent="0.35">
      <c r="A735" s="29"/>
      <c r="B735" s="29"/>
      <c r="C735" s="29"/>
      <c r="D735" s="29"/>
    </row>
    <row r="736" spans="1:4" ht="15.75" customHeight="1" x14ac:dyDescent="0.35">
      <c r="A736" s="29"/>
      <c r="B736" s="29"/>
      <c r="C736" s="29"/>
      <c r="D736" s="29"/>
    </row>
    <row r="737" spans="1:4" ht="15.75" customHeight="1" x14ac:dyDescent="0.35">
      <c r="A737" s="29"/>
      <c r="B737" s="29"/>
      <c r="C737" s="29"/>
      <c r="D737" s="29"/>
    </row>
    <row r="738" spans="1:4" ht="15.75" customHeight="1" x14ac:dyDescent="0.35">
      <c r="A738" s="29"/>
      <c r="B738" s="29"/>
      <c r="C738" s="29"/>
      <c r="D738" s="29"/>
    </row>
    <row r="739" spans="1:4" ht="15.75" customHeight="1" x14ac:dyDescent="0.35">
      <c r="A739" s="29"/>
      <c r="B739" s="29"/>
      <c r="C739" s="29"/>
      <c r="D739" s="29"/>
    </row>
    <row r="740" spans="1:4" ht="15.75" customHeight="1" x14ac:dyDescent="0.35">
      <c r="A740" s="29"/>
      <c r="B740" s="29"/>
      <c r="C740" s="29"/>
      <c r="D740" s="29"/>
    </row>
    <row r="741" spans="1:4" ht="15.75" customHeight="1" x14ac:dyDescent="0.35">
      <c r="A741" s="29"/>
      <c r="B741" s="29"/>
      <c r="C741" s="29"/>
      <c r="D741" s="29"/>
    </row>
    <row r="742" spans="1:4" ht="15.75" customHeight="1" x14ac:dyDescent="0.35">
      <c r="A742" s="29"/>
      <c r="B742" s="29"/>
      <c r="C742" s="29"/>
      <c r="D742" s="29"/>
    </row>
    <row r="743" spans="1:4" ht="15.75" customHeight="1" x14ac:dyDescent="0.35">
      <c r="A743" s="29"/>
      <c r="B743" s="29"/>
      <c r="C743" s="29"/>
      <c r="D743" s="29"/>
    </row>
    <row r="744" spans="1:4" ht="15.75" customHeight="1" x14ac:dyDescent="0.35">
      <c r="A744" s="29"/>
      <c r="B744" s="29"/>
      <c r="C744" s="29"/>
      <c r="D744" s="29"/>
    </row>
    <row r="745" spans="1:4" ht="15.75" customHeight="1" x14ac:dyDescent="0.35">
      <c r="A745" s="29"/>
      <c r="B745" s="29"/>
      <c r="C745" s="29"/>
      <c r="D745" s="29"/>
    </row>
    <row r="746" spans="1:4" ht="15.75" customHeight="1" x14ac:dyDescent="0.35">
      <c r="A746" s="29"/>
      <c r="B746" s="29"/>
      <c r="C746" s="29"/>
      <c r="D746" s="29"/>
    </row>
    <row r="747" spans="1:4" ht="15.75" customHeight="1" x14ac:dyDescent="0.35">
      <c r="A747" s="29"/>
      <c r="B747" s="29"/>
      <c r="C747" s="29"/>
      <c r="D747" s="29"/>
    </row>
    <row r="748" spans="1:4" ht="15.75" customHeight="1" x14ac:dyDescent="0.35">
      <c r="A748" s="29"/>
      <c r="B748" s="29"/>
      <c r="C748" s="29"/>
      <c r="D748" s="29"/>
    </row>
    <row r="749" spans="1:4" ht="15.75" customHeight="1" x14ac:dyDescent="0.35">
      <c r="A749" s="29"/>
      <c r="B749" s="29"/>
      <c r="C749" s="29"/>
      <c r="D749" s="29"/>
    </row>
    <row r="750" spans="1:4" ht="15.75" customHeight="1" x14ac:dyDescent="0.35">
      <c r="A750" s="29"/>
      <c r="B750" s="29"/>
      <c r="C750" s="29"/>
      <c r="D750" s="29"/>
    </row>
    <row r="751" spans="1:4" ht="15.75" customHeight="1" x14ac:dyDescent="0.35">
      <c r="A751" s="29"/>
      <c r="B751" s="29"/>
      <c r="C751" s="29"/>
      <c r="D751" s="29"/>
    </row>
    <row r="752" spans="1:4" ht="15.75" customHeight="1" x14ac:dyDescent="0.35">
      <c r="A752" s="29"/>
      <c r="B752" s="29"/>
      <c r="C752" s="29"/>
      <c r="D752" s="29"/>
    </row>
    <row r="753" spans="1:4" ht="15.75" customHeight="1" x14ac:dyDescent="0.35">
      <c r="A753" s="29"/>
      <c r="B753" s="29"/>
      <c r="C753" s="29"/>
      <c r="D753" s="29"/>
    </row>
    <row r="754" spans="1:4" ht="15.75" customHeight="1" x14ac:dyDescent="0.35">
      <c r="A754" s="29"/>
      <c r="B754" s="29"/>
      <c r="C754" s="29"/>
      <c r="D754" s="29"/>
    </row>
    <row r="755" spans="1:4" ht="15.75" customHeight="1" x14ac:dyDescent="0.35">
      <c r="A755" s="29"/>
      <c r="B755" s="29"/>
      <c r="C755" s="29"/>
      <c r="D755" s="29"/>
    </row>
    <row r="756" spans="1:4" ht="15.75" customHeight="1" x14ac:dyDescent="0.35">
      <c r="A756" s="29"/>
      <c r="B756" s="29"/>
      <c r="C756" s="29"/>
      <c r="D756" s="29"/>
    </row>
    <row r="757" spans="1:4" ht="15.75" customHeight="1" x14ac:dyDescent="0.35">
      <c r="A757" s="29"/>
      <c r="B757" s="29"/>
      <c r="C757" s="29"/>
      <c r="D757" s="29"/>
    </row>
    <row r="758" spans="1:4" ht="15.75" customHeight="1" x14ac:dyDescent="0.35">
      <c r="A758" s="29"/>
      <c r="B758" s="29"/>
      <c r="C758" s="29"/>
      <c r="D758" s="29"/>
    </row>
    <row r="759" spans="1:4" ht="15.75" customHeight="1" x14ac:dyDescent="0.35">
      <c r="A759" s="29"/>
      <c r="B759" s="29"/>
      <c r="C759" s="29"/>
      <c r="D759" s="29"/>
    </row>
    <row r="760" spans="1:4" ht="15.75" customHeight="1" x14ac:dyDescent="0.35">
      <c r="A760" s="29"/>
      <c r="B760" s="29"/>
      <c r="C760" s="29"/>
      <c r="D760" s="29"/>
    </row>
    <row r="761" spans="1:4" ht="15.75" customHeight="1" x14ac:dyDescent="0.35">
      <c r="A761" s="29"/>
      <c r="B761" s="29"/>
      <c r="C761" s="29"/>
      <c r="D761" s="29"/>
    </row>
    <row r="762" spans="1:4" ht="15.75" customHeight="1" x14ac:dyDescent="0.35">
      <c r="A762" s="29"/>
      <c r="B762" s="29"/>
      <c r="C762" s="29"/>
      <c r="D762" s="29"/>
    </row>
    <row r="763" spans="1:4" ht="15.75" customHeight="1" x14ac:dyDescent="0.35">
      <c r="A763" s="29"/>
      <c r="B763" s="29"/>
      <c r="C763" s="29"/>
      <c r="D763" s="29"/>
    </row>
    <row r="764" spans="1:4" ht="15.75" customHeight="1" x14ac:dyDescent="0.35">
      <c r="A764" s="29"/>
      <c r="B764" s="29"/>
      <c r="C764" s="29"/>
      <c r="D764" s="29"/>
    </row>
    <row r="765" spans="1:4" ht="15.75" customHeight="1" x14ac:dyDescent="0.35">
      <c r="A765" s="29"/>
      <c r="B765" s="29"/>
      <c r="C765" s="29"/>
      <c r="D765" s="29"/>
    </row>
    <row r="766" spans="1:4" ht="15.75" customHeight="1" x14ac:dyDescent="0.35">
      <c r="A766" s="29"/>
      <c r="B766" s="29"/>
      <c r="C766" s="29"/>
      <c r="D766" s="29"/>
    </row>
    <row r="767" spans="1:4" ht="15.75" customHeight="1" x14ac:dyDescent="0.35">
      <c r="A767" s="29"/>
      <c r="B767" s="29"/>
      <c r="C767" s="29"/>
      <c r="D767" s="29"/>
    </row>
    <row r="768" spans="1:4" ht="15.75" customHeight="1" x14ac:dyDescent="0.35">
      <c r="A768" s="29"/>
      <c r="B768" s="29"/>
      <c r="C768" s="29"/>
      <c r="D768" s="29"/>
    </row>
    <row r="769" spans="1:4" ht="15.75" customHeight="1" x14ac:dyDescent="0.35">
      <c r="A769" s="29"/>
      <c r="B769" s="29"/>
      <c r="C769" s="29"/>
      <c r="D769" s="29"/>
    </row>
    <row r="770" spans="1:4" ht="15.75" customHeight="1" x14ac:dyDescent="0.35">
      <c r="A770" s="29"/>
      <c r="B770" s="29"/>
      <c r="C770" s="29"/>
      <c r="D770" s="29"/>
    </row>
    <row r="771" spans="1:4" ht="15.75" customHeight="1" x14ac:dyDescent="0.35">
      <c r="A771" s="29"/>
      <c r="B771" s="29"/>
      <c r="C771" s="29"/>
      <c r="D771" s="29"/>
    </row>
    <row r="772" spans="1:4" ht="15.75" customHeight="1" x14ac:dyDescent="0.35">
      <c r="A772" s="29"/>
      <c r="B772" s="29"/>
      <c r="C772" s="29"/>
      <c r="D772" s="29"/>
    </row>
    <row r="773" spans="1:4" ht="15.75" customHeight="1" x14ac:dyDescent="0.35">
      <c r="A773" s="29"/>
      <c r="B773" s="29"/>
      <c r="C773" s="29"/>
      <c r="D773" s="29"/>
    </row>
    <row r="774" spans="1:4" ht="15.75" customHeight="1" x14ac:dyDescent="0.35">
      <c r="A774" s="29"/>
      <c r="B774" s="29"/>
      <c r="C774" s="29"/>
      <c r="D774" s="29"/>
    </row>
    <row r="775" spans="1:4" ht="15.75" customHeight="1" x14ac:dyDescent="0.35">
      <c r="A775" s="29"/>
      <c r="B775" s="29"/>
      <c r="C775" s="29"/>
      <c r="D775" s="29"/>
    </row>
    <row r="776" spans="1:4" ht="15.75" customHeight="1" x14ac:dyDescent="0.35">
      <c r="A776" s="29"/>
      <c r="B776" s="29"/>
      <c r="C776" s="29"/>
      <c r="D776" s="29"/>
    </row>
    <row r="777" spans="1:4" ht="15.75" customHeight="1" x14ac:dyDescent="0.35">
      <c r="A777" s="29"/>
      <c r="B777" s="29"/>
      <c r="C777" s="29"/>
      <c r="D777" s="29"/>
    </row>
    <row r="778" spans="1:4" ht="15.75" customHeight="1" x14ac:dyDescent="0.35">
      <c r="A778" s="29"/>
      <c r="B778" s="29"/>
      <c r="C778" s="29"/>
      <c r="D778" s="29"/>
    </row>
    <row r="779" spans="1:4" ht="15.75" customHeight="1" x14ac:dyDescent="0.35">
      <c r="A779" s="29"/>
      <c r="B779" s="29"/>
      <c r="C779" s="29"/>
      <c r="D779" s="29"/>
    </row>
    <row r="780" spans="1:4" ht="15.75" customHeight="1" x14ac:dyDescent="0.35">
      <c r="A780" s="29"/>
      <c r="B780" s="29"/>
      <c r="C780" s="29"/>
      <c r="D780" s="29"/>
    </row>
    <row r="781" spans="1:4" ht="15.75" customHeight="1" x14ac:dyDescent="0.35">
      <c r="A781" s="29"/>
      <c r="B781" s="29"/>
      <c r="C781" s="29"/>
      <c r="D781" s="29"/>
    </row>
    <row r="782" spans="1:4" ht="15.75" customHeight="1" x14ac:dyDescent="0.35">
      <c r="A782" s="29"/>
      <c r="B782" s="29"/>
      <c r="C782" s="29"/>
      <c r="D782" s="29"/>
    </row>
    <row r="783" spans="1:4" ht="15.75" customHeight="1" x14ac:dyDescent="0.35">
      <c r="A783" s="29"/>
      <c r="B783" s="29"/>
      <c r="C783" s="29"/>
      <c r="D783" s="29"/>
    </row>
    <row r="784" spans="1:4" ht="15.75" customHeight="1" x14ac:dyDescent="0.35">
      <c r="A784" s="29"/>
      <c r="B784" s="29"/>
      <c r="C784" s="29"/>
      <c r="D784" s="29"/>
    </row>
    <row r="785" spans="1:4" ht="15.75" customHeight="1" x14ac:dyDescent="0.35">
      <c r="A785" s="29"/>
      <c r="B785" s="29"/>
      <c r="C785" s="29"/>
      <c r="D785" s="29"/>
    </row>
    <row r="786" spans="1:4" ht="15.75" customHeight="1" x14ac:dyDescent="0.35">
      <c r="A786" s="29"/>
      <c r="B786" s="29"/>
      <c r="C786" s="29"/>
      <c r="D786" s="29"/>
    </row>
    <row r="787" spans="1:4" ht="15.75" customHeight="1" x14ac:dyDescent="0.35">
      <c r="A787" s="29"/>
      <c r="B787" s="29"/>
      <c r="C787" s="29"/>
      <c r="D787" s="29"/>
    </row>
    <row r="788" spans="1:4" ht="15.75" customHeight="1" x14ac:dyDescent="0.35">
      <c r="A788" s="29"/>
      <c r="B788" s="29"/>
      <c r="C788" s="29"/>
      <c r="D788" s="29"/>
    </row>
    <row r="789" spans="1:4" ht="15.75" customHeight="1" x14ac:dyDescent="0.35">
      <c r="A789" s="29"/>
      <c r="B789" s="29"/>
      <c r="C789" s="29"/>
      <c r="D789" s="29"/>
    </row>
    <row r="790" spans="1:4" ht="15.75" customHeight="1" x14ac:dyDescent="0.35">
      <c r="A790" s="29"/>
      <c r="B790" s="29"/>
      <c r="C790" s="29"/>
      <c r="D790" s="29"/>
    </row>
    <row r="791" spans="1:4" ht="15.75" customHeight="1" x14ac:dyDescent="0.35">
      <c r="A791" s="29"/>
      <c r="B791" s="29"/>
      <c r="C791" s="29"/>
      <c r="D791" s="29"/>
    </row>
    <row r="792" spans="1:4" ht="15.75" customHeight="1" x14ac:dyDescent="0.35">
      <c r="A792" s="29"/>
      <c r="B792" s="29"/>
      <c r="C792" s="29"/>
      <c r="D792" s="29"/>
    </row>
    <row r="793" spans="1:4" ht="15.75" customHeight="1" x14ac:dyDescent="0.35">
      <c r="A793" s="29"/>
      <c r="B793" s="29"/>
      <c r="C793" s="29"/>
      <c r="D793" s="29"/>
    </row>
    <row r="794" spans="1:4" ht="15.75" customHeight="1" x14ac:dyDescent="0.35">
      <c r="A794" s="29"/>
      <c r="B794" s="29"/>
      <c r="C794" s="29"/>
      <c r="D794" s="29"/>
    </row>
    <row r="795" spans="1:4" ht="15.75" customHeight="1" x14ac:dyDescent="0.35">
      <c r="A795" s="29"/>
      <c r="B795" s="29"/>
      <c r="C795" s="29"/>
      <c r="D795" s="29"/>
    </row>
    <row r="796" spans="1:4" ht="15.75" customHeight="1" x14ac:dyDescent="0.35">
      <c r="A796" s="29"/>
      <c r="B796" s="29"/>
      <c r="C796" s="29"/>
      <c r="D796" s="29"/>
    </row>
    <row r="797" spans="1:4" ht="15.75" customHeight="1" x14ac:dyDescent="0.35">
      <c r="A797" s="29"/>
      <c r="B797" s="29"/>
      <c r="C797" s="29"/>
      <c r="D797" s="29"/>
    </row>
    <row r="798" spans="1:4" ht="15.75" customHeight="1" x14ac:dyDescent="0.35">
      <c r="A798" s="29"/>
      <c r="B798" s="29"/>
      <c r="C798" s="29"/>
      <c r="D798" s="29"/>
    </row>
    <row r="799" spans="1:4" ht="15.75" customHeight="1" x14ac:dyDescent="0.35">
      <c r="A799" s="29"/>
      <c r="B799" s="29"/>
      <c r="C799" s="29"/>
      <c r="D799" s="29"/>
    </row>
    <row r="800" spans="1:4" ht="15.75" customHeight="1" x14ac:dyDescent="0.35">
      <c r="A800" s="29"/>
      <c r="B800" s="29"/>
      <c r="C800" s="29"/>
      <c r="D800" s="29"/>
    </row>
    <row r="801" spans="1:4" ht="15.75" customHeight="1" x14ac:dyDescent="0.35">
      <c r="A801" s="29"/>
      <c r="B801" s="29"/>
      <c r="C801" s="29"/>
      <c r="D801" s="29"/>
    </row>
    <row r="802" spans="1:4" ht="15.75" customHeight="1" x14ac:dyDescent="0.35">
      <c r="A802" s="29"/>
      <c r="B802" s="29"/>
      <c r="C802" s="29"/>
      <c r="D802" s="29"/>
    </row>
    <row r="803" spans="1:4" ht="15.75" customHeight="1" x14ac:dyDescent="0.35">
      <c r="A803" s="29"/>
      <c r="B803" s="29"/>
      <c r="C803" s="29"/>
      <c r="D803" s="29"/>
    </row>
    <row r="804" spans="1:4" ht="15.75" customHeight="1" x14ac:dyDescent="0.35">
      <c r="A804" s="29"/>
      <c r="B804" s="29"/>
      <c r="C804" s="29"/>
      <c r="D804" s="29"/>
    </row>
    <row r="805" spans="1:4" ht="15.75" customHeight="1" x14ac:dyDescent="0.35">
      <c r="A805" s="29"/>
      <c r="B805" s="29"/>
      <c r="C805" s="29"/>
      <c r="D805" s="29"/>
    </row>
    <row r="806" spans="1:4" ht="15.75" customHeight="1" x14ac:dyDescent="0.35">
      <c r="A806" s="29"/>
      <c r="B806" s="29"/>
      <c r="C806" s="29"/>
      <c r="D806" s="29"/>
    </row>
    <row r="807" spans="1:4" ht="15.75" customHeight="1" x14ac:dyDescent="0.35">
      <c r="A807" s="29"/>
      <c r="B807" s="29"/>
      <c r="C807" s="29"/>
      <c r="D807" s="29"/>
    </row>
    <row r="808" spans="1:4" ht="15.75" customHeight="1" x14ac:dyDescent="0.35">
      <c r="A808" s="29"/>
      <c r="B808" s="29"/>
      <c r="C808" s="29"/>
      <c r="D808" s="29"/>
    </row>
    <row r="809" spans="1:4" ht="15.75" customHeight="1" x14ac:dyDescent="0.35">
      <c r="A809" s="29"/>
      <c r="B809" s="29"/>
      <c r="C809" s="29"/>
      <c r="D809" s="29"/>
    </row>
    <row r="810" spans="1:4" ht="15.75" customHeight="1" x14ac:dyDescent="0.35">
      <c r="A810" s="29"/>
      <c r="B810" s="29"/>
      <c r="C810" s="29"/>
      <c r="D810" s="29"/>
    </row>
    <row r="811" spans="1:4" ht="15.75" customHeight="1" x14ac:dyDescent="0.35">
      <c r="A811" s="29"/>
      <c r="B811" s="29"/>
      <c r="C811" s="29"/>
      <c r="D811" s="29"/>
    </row>
    <row r="812" spans="1:4" ht="15.75" customHeight="1" x14ac:dyDescent="0.35">
      <c r="A812" s="29"/>
      <c r="B812" s="29"/>
      <c r="C812" s="29"/>
      <c r="D812" s="29"/>
    </row>
    <row r="813" spans="1:4" ht="15.75" customHeight="1" x14ac:dyDescent="0.35">
      <c r="A813" s="29"/>
      <c r="B813" s="29"/>
      <c r="C813" s="29"/>
      <c r="D813" s="29"/>
    </row>
    <row r="814" spans="1:4" ht="15.75" customHeight="1" x14ac:dyDescent="0.35">
      <c r="A814" s="29"/>
      <c r="B814" s="29"/>
      <c r="C814" s="29"/>
      <c r="D814" s="29"/>
    </row>
    <row r="815" spans="1:4" ht="15.75" customHeight="1" x14ac:dyDescent="0.35">
      <c r="A815" s="29"/>
      <c r="B815" s="29"/>
      <c r="C815" s="29"/>
      <c r="D815" s="29"/>
    </row>
    <row r="816" spans="1:4" ht="15.75" customHeight="1" x14ac:dyDescent="0.35">
      <c r="A816" s="29"/>
      <c r="B816" s="29"/>
      <c r="C816" s="29"/>
      <c r="D816" s="29"/>
    </row>
    <row r="817" spans="1:4" ht="15.75" customHeight="1" x14ac:dyDescent="0.35">
      <c r="A817" s="29"/>
      <c r="B817" s="29"/>
      <c r="C817" s="29"/>
      <c r="D817" s="29"/>
    </row>
    <row r="818" spans="1:4" ht="15.75" customHeight="1" x14ac:dyDescent="0.35">
      <c r="A818" s="29"/>
      <c r="B818" s="29"/>
      <c r="C818" s="29"/>
      <c r="D818" s="29"/>
    </row>
    <row r="819" spans="1:4" ht="15.75" customHeight="1" x14ac:dyDescent="0.35">
      <c r="A819" s="29"/>
      <c r="B819" s="29"/>
      <c r="C819" s="29"/>
      <c r="D819" s="29"/>
    </row>
    <row r="820" spans="1:4" ht="15.75" customHeight="1" x14ac:dyDescent="0.35">
      <c r="A820" s="29"/>
      <c r="B820" s="29"/>
      <c r="C820" s="29"/>
      <c r="D820" s="29"/>
    </row>
    <row r="821" spans="1:4" ht="15.75" customHeight="1" x14ac:dyDescent="0.35">
      <c r="A821" s="29"/>
      <c r="B821" s="29"/>
      <c r="C821" s="29"/>
      <c r="D821" s="29"/>
    </row>
    <row r="822" spans="1:4" ht="15.75" customHeight="1" x14ac:dyDescent="0.35">
      <c r="A822" s="29"/>
      <c r="B822" s="29"/>
      <c r="C822" s="29"/>
      <c r="D822" s="29"/>
    </row>
    <row r="823" spans="1:4" ht="15.75" customHeight="1" x14ac:dyDescent="0.35">
      <c r="A823" s="29"/>
      <c r="B823" s="29"/>
      <c r="C823" s="29"/>
      <c r="D823" s="29"/>
    </row>
    <row r="824" spans="1:4" ht="15.75" customHeight="1" x14ac:dyDescent="0.35">
      <c r="A824" s="29"/>
      <c r="B824" s="29"/>
      <c r="C824" s="29"/>
      <c r="D824" s="29"/>
    </row>
    <row r="825" spans="1:4" ht="15.75" customHeight="1" x14ac:dyDescent="0.35">
      <c r="A825" s="29"/>
      <c r="B825" s="29"/>
      <c r="C825" s="29"/>
      <c r="D825" s="29"/>
    </row>
    <row r="826" spans="1:4" ht="15.75" customHeight="1" x14ac:dyDescent="0.35">
      <c r="A826" s="29"/>
      <c r="B826" s="29"/>
      <c r="C826" s="29"/>
      <c r="D826" s="29"/>
    </row>
    <row r="827" spans="1:4" ht="15.75" customHeight="1" x14ac:dyDescent="0.35">
      <c r="A827" s="29"/>
      <c r="B827" s="29"/>
      <c r="C827" s="29"/>
      <c r="D827" s="29"/>
    </row>
    <row r="828" spans="1:4" ht="15.75" customHeight="1" x14ac:dyDescent="0.35">
      <c r="A828" s="29"/>
      <c r="B828" s="29"/>
      <c r="C828" s="29"/>
      <c r="D828" s="29"/>
    </row>
    <row r="829" spans="1:4" ht="15.75" customHeight="1" x14ac:dyDescent="0.35">
      <c r="A829" s="29"/>
      <c r="B829" s="29"/>
      <c r="C829" s="29"/>
      <c r="D829" s="29"/>
    </row>
    <row r="830" spans="1:4" ht="15.75" customHeight="1" x14ac:dyDescent="0.35">
      <c r="A830" s="29"/>
      <c r="B830" s="29"/>
      <c r="C830" s="29"/>
      <c r="D830" s="29"/>
    </row>
    <row r="831" spans="1:4" ht="15.75" customHeight="1" x14ac:dyDescent="0.35">
      <c r="A831" s="29"/>
      <c r="B831" s="29"/>
      <c r="C831" s="29"/>
      <c r="D831" s="29"/>
    </row>
    <row r="832" spans="1:4" ht="15.75" customHeight="1" x14ac:dyDescent="0.35">
      <c r="A832" s="29"/>
      <c r="B832" s="29"/>
      <c r="C832" s="29"/>
      <c r="D832" s="29"/>
    </row>
    <row r="833" spans="1:4" ht="15.75" customHeight="1" x14ac:dyDescent="0.35">
      <c r="A833" s="29"/>
      <c r="B833" s="29"/>
      <c r="C833" s="29"/>
      <c r="D833" s="29"/>
    </row>
    <row r="834" spans="1:4" ht="15.75" customHeight="1" x14ac:dyDescent="0.35">
      <c r="A834" s="29"/>
      <c r="B834" s="29"/>
      <c r="C834" s="29"/>
      <c r="D834" s="29"/>
    </row>
    <row r="835" spans="1:4" ht="15.75" customHeight="1" x14ac:dyDescent="0.35">
      <c r="A835" s="29"/>
      <c r="B835" s="29"/>
      <c r="C835" s="29"/>
      <c r="D835" s="29"/>
    </row>
    <row r="836" spans="1:4" ht="15.75" customHeight="1" x14ac:dyDescent="0.35">
      <c r="A836" s="29"/>
      <c r="B836" s="29"/>
      <c r="C836" s="29"/>
      <c r="D836" s="29"/>
    </row>
    <row r="837" spans="1:4" ht="15.75" customHeight="1" x14ac:dyDescent="0.35">
      <c r="A837" s="29"/>
      <c r="B837" s="29"/>
      <c r="C837" s="29"/>
      <c r="D837" s="29"/>
    </row>
    <row r="838" spans="1:4" ht="15.75" customHeight="1" x14ac:dyDescent="0.35">
      <c r="A838" s="29"/>
      <c r="B838" s="29"/>
      <c r="C838" s="29"/>
      <c r="D838" s="29"/>
    </row>
    <row r="839" spans="1:4" ht="15.75" customHeight="1" x14ac:dyDescent="0.35">
      <c r="A839" s="29"/>
      <c r="B839" s="29"/>
      <c r="C839" s="29"/>
      <c r="D839" s="29"/>
    </row>
    <row r="840" spans="1:4" ht="15.75" customHeight="1" x14ac:dyDescent="0.35">
      <c r="A840" s="29"/>
      <c r="B840" s="29"/>
      <c r="C840" s="29"/>
      <c r="D840" s="29"/>
    </row>
    <row r="841" spans="1:4" ht="15.75" customHeight="1" x14ac:dyDescent="0.35">
      <c r="A841" s="29"/>
      <c r="B841" s="29"/>
      <c r="C841" s="29"/>
      <c r="D841" s="29"/>
    </row>
    <row r="842" spans="1:4" ht="15.75" customHeight="1" x14ac:dyDescent="0.35">
      <c r="A842" s="29"/>
      <c r="B842" s="29"/>
      <c r="C842" s="29"/>
      <c r="D842" s="29"/>
    </row>
    <row r="843" spans="1:4" ht="15.75" customHeight="1" x14ac:dyDescent="0.35">
      <c r="A843" s="29"/>
      <c r="B843" s="29"/>
      <c r="C843" s="29"/>
      <c r="D843" s="29"/>
    </row>
    <row r="844" spans="1:4" ht="15.75" customHeight="1" x14ac:dyDescent="0.35">
      <c r="A844" s="29"/>
      <c r="B844" s="29"/>
      <c r="C844" s="29"/>
      <c r="D844" s="29"/>
    </row>
    <row r="845" spans="1:4" ht="15.75" customHeight="1" x14ac:dyDescent="0.35">
      <c r="A845" s="29"/>
      <c r="B845" s="29"/>
      <c r="C845" s="29"/>
      <c r="D845" s="29"/>
    </row>
    <row r="846" spans="1:4" ht="15.75" customHeight="1" x14ac:dyDescent="0.35">
      <c r="A846" s="29"/>
      <c r="B846" s="29"/>
      <c r="C846" s="29"/>
      <c r="D846" s="29"/>
    </row>
    <row r="847" spans="1:4" ht="15.75" customHeight="1" x14ac:dyDescent="0.35">
      <c r="A847" s="29"/>
      <c r="B847" s="29"/>
      <c r="C847" s="29"/>
      <c r="D847" s="29"/>
    </row>
    <row r="848" spans="1:4" ht="15.75" customHeight="1" x14ac:dyDescent="0.35">
      <c r="A848" s="29"/>
      <c r="B848" s="29"/>
      <c r="C848" s="29"/>
      <c r="D848" s="29"/>
    </row>
    <row r="849" spans="1:4" ht="15.75" customHeight="1" x14ac:dyDescent="0.35">
      <c r="A849" s="29"/>
      <c r="B849" s="29"/>
      <c r="C849" s="29"/>
      <c r="D849" s="29"/>
    </row>
    <row r="850" spans="1:4" ht="15.75" customHeight="1" x14ac:dyDescent="0.35">
      <c r="A850" s="29"/>
      <c r="B850" s="29"/>
      <c r="C850" s="29"/>
      <c r="D850" s="29"/>
    </row>
    <row r="851" spans="1:4" ht="15.75" customHeight="1" x14ac:dyDescent="0.35">
      <c r="A851" s="29"/>
      <c r="B851" s="29"/>
      <c r="C851" s="29"/>
      <c r="D851" s="29"/>
    </row>
    <row r="852" spans="1:4" ht="15.75" customHeight="1" x14ac:dyDescent="0.35">
      <c r="A852" s="29"/>
      <c r="B852" s="29"/>
      <c r="C852" s="29"/>
      <c r="D852" s="29"/>
    </row>
    <row r="853" spans="1:4" ht="15.75" customHeight="1" x14ac:dyDescent="0.35">
      <c r="A853" s="29"/>
      <c r="B853" s="29"/>
      <c r="C853" s="29"/>
      <c r="D853" s="29"/>
    </row>
    <row r="854" spans="1:4" ht="15.75" customHeight="1" x14ac:dyDescent="0.35">
      <c r="A854" s="29"/>
      <c r="B854" s="29"/>
      <c r="C854" s="29"/>
      <c r="D854" s="29"/>
    </row>
    <row r="855" spans="1:4" ht="15.75" customHeight="1" x14ac:dyDescent="0.35">
      <c r="A855" s="29"/>
      <c r="B855" s="29"/>
      <c r="C855" s="29"/>
      <c r="D855" s="29"/>
    </row>
    <row r="856" spans="1:4" ht="15.75" customHeight="1" x14ac:dyDescent="0.35">
      <c r="A856" s="29"/>
      <c r="B856" s="29"/>
      <c r="C856" s="29"/>
      <c r="D856" s="29"/>
    </row>
    <row r="857" spans="1:4" ht="15.75" customHeight="1" x14ac:dyDescent="0.35">
      <c r="A857" s="29"/>
      <c r="B857" s="29"/>
      <c r="C857" s="29"/>
      <c r="D857" s="29"/>
    </row>
    <row r="858" spans="1:4" ht="15.75" customHeight="1" x14ac:dyDescent="0.35">
      <c r="A858" s="29"/>
      <c r="B858" s="29"/>
      <c r="C858" s="29"/>
      <c r="D858" s="29"/>
    </row>
    <row r="859" spans="1:4" ht="15.75" customHeight="1" x14ac:dyDescent="0.35">
      <c r="A859" s="29"/>
      <c r="B859" s="29"/>
      <c r="C859" s="29"/>
      <c r="D859" s="29"/>
    </row>
    <row r="860" spans="1:4" ht="15.75" customHeight="1" x14ac:dyDescent="0.35">
      <c r="A860" s="29"/>
      <c r="B860" s="29"/>
      <c r="C860" s="29"/>
      <c r="D860" s="29"/>
    </row>
    <row r="861" spans="1:4" ht="15.75" customHeight="1" x14ac:dyDescent="0.35">
      <c r="A861" s="29"/>
      <c r="B861" s="29"/>
      <c r="C861" s="29"/>
      <c r="D861" s="29"/>
    </row>
    <row r="862" spans="1:4" ht="15.75" customHeight="1" x14ac:dyDescent="0.35">
      <c r="A862" s="29"/>
      <c r="B862" s="29"/>
      <c r="C862" s="29"/>
      <c r="D862" s="29"/>
    </row>
    <row r="863" spans="1:4" ht="15.75" customHeight="1" x14ac:dyDescent="0.35">
      <c r="A863" s="29"/>
      <c r="B863" s="29"/>
      <c r="C863" s="29"/>
      <c r="D863" s="29"/>
    </row>
    <row r="864" spans="1:4" ht="15.75" customHeight="1" x14ac:dyDescent="0.35">
      <c r="A864" s="29"/>
      <c r="B864" s="29"/>
      <c r="C864" s="29"/>
      <c r="D864" s="29"/>
    </row>
    <row r="865" spans="1:4" ht="15.75" customHeight="1" x14ac:dyDescent="0.35">
      <c r="A865" s="29"/>
      <c r="B865" s="29"/>
      <c r="C865" s="29"/>
      <c r="D865" s="29"/>
    </row>
    <row r="866" spans="1:4" ht="15.75" customHeight="1" x14ac:dyDescent="0.35">
      <c r="A866" s="29"/>
      <c r="B866" s="29"/>
      <c r="C866" s="29"/>
      <c r="D866" s="29"/>
    </row>
    <row r="867" spans="1:4" ht="15.75" customHeight="1" x14ac:dyDescent="0.35">
      <c r="A867" s="29"/>
      <c r="B867" s="29"/>
      <c r="C867" s="29"/>
      <c r="D867" s="29"/>
    </row>
    <row r="868" spans="1:4" ht="15.75" customHeight="1" x14ac:dyDescent="0.35">
      <c r="A868" s="29"/>
      <c r="B868" s="29"/>
      <c r="C868" s="29"/>
      <c r="D868" s="29"/>
    </row>
    <row r="869" spans="1:4" ht="15.75" customHeight="1" x14ac:dyDescent="0.35">
      <c r="A869" s="29"/>
      <c r="B869" s="29"/>
      <c r="C869" s="29"/>
      <c r="D869" s="29"/>
    </row>
    <row r="870" spans="1:4" ht="15.75" customHeight="1" x14ac:dyDescent="0.35">
      <c r="A870" s="29"/>
      <c r="B870" s="29"/>
      <c r="C870" s="29"/>
      <c r="D870" s="29"/>
    </row>
    <row r="871" spans="1:4" ht="15.75" customHeight="1" x14ac:dyDescent="0.35">
      <c r="A871" s="29"/>
      <c r="B871" s="29"/>
      <c r="C871" s="29"/>
      <c r="D871" s="29"/>
    </row>
    <row r="872" spans="1:4" ht="15.75" customHeight="1" x14ac:dyDescent="0.35">
      <c r="A872" s="29"/>
      <c r="B872" s="29"/>
      <c r="C872" s="29"/>
      <c r="D872" s="29"/>
    </row>
    <row r="873" spans="1:4" ht="15.75" customHeight="1" x14ac:dyDescent="0.35">
      <c r="A873" s="29"/>
      <c r="B873" s="29"/>
      <c r="C873" s="29"/>
      <c r="D873" s="29"/>
    </row>
    <row r="874" spans="1:4" ht="15.75" customHeight="1" x14ac:dyDescent="0.35">
      <c r="A874" s="29"/>
      <c r="B874" s="29"/>
      <c r="C874" s="29"/>
      <c r="D874" s="29"/>
    </row>
    <row r="875" spans="1:4" ht="15.75" customHeight="1" x14ac:dyDescent="0.35">
      <c r="A875" s="29"/>
      <c r="B875" s="29"/>
      <c r="C875" s="29"/>
      <c r="D875" s="29"/>
    </row>
    <row r="876" spans="1:4" ht="15.75" customHeight="1" x14ac:dyDescent="0.35">
      <c r="A876" s="29"/>
      <c r="B876" s="29"/>
      <c r="C876" s="29"/>
      <c r="D876" s="29"/>
    </row>
    <row r="877" spans="1:4" ht="15.75" customHeight="1" x14ac:dyDescent="0.35">
      <c r="A877" s="29"/>
      <c r="B877" s="29"/>
      <c r="C877" s="29"/>
      <c r="D877" s="29"/>
    </row>
    <row r="878" spans="1:4" ht="15.75" customHeight="1" x14ac:dyDescent="0.35">
      <c r="A878" s="29"/>
      <c r="B878" s="29"/>
      <c r="C878" s="29"/>
      <c r="D878" s="29"/>
    </row>
    <row r="879" spans="1:4" ht="15.75" customHeight="1" x14ac:dyDescent="0.35">
      <c r="A879" s="29"/>
      <c r="B879" s="29"/>
      <c r="C879" s="29"/>
      <c r="D879" s="29"/>
    </row>
    <row r="880" spans="1:4" ht="15.75" customHeight="1" x14ac:dyDescent="0.35">
      <c r="A880" s="29"/>
      <c r="B880" s="29"/>
      <c r="C880" s="29"/>
      <c r="D880" s="29"/>
    </row>
    <row r="881" spans="1:4" ht="15.75" customHeight="1" x14ac:dyDescent="0.35">
      <c r="A881" s="29"/>
      <c r="B881" s="29"/>
      <c r="C881" s="29"/>
      <c r="D881" s="29"/>
    </row>
    <row r="882" spans="1:4" ht="15.75" customHeight="1" x14ac:dyDescent="0.35">
      <c r="A882" s="29"/>
      <c r="B882" s="29"/>
      <c r="C882" s="29"/>
      <c r="D882" s="29"/>
    </row>
    <row r="883" spans="1:4" ht="15.75" customHeight="1" x14ac:dyDescent="0.35">
      <c r="A883" s="29"/>
      <c r="B883" s="29"/>
      <c r="C883" s="29"/>
      <c r="D883" s="29"/>
    </row>
    <row r="884" spans="1:4" ht="15.75" customHeight="1" x14ac:dyDescent="0.35">
      <c r="A884" s="29"/>
      <c r="B884" s="29"/>
      <c r="C884" s="29"/>
      <c r="D884" s="29"/>
    </row>
    <row r="885" spans="1:4" ht="15.75" customHeight="1" x14ac:dyDescent="0.35">
      <c r="A885" s="29"/>
      <c r="B885" s="29"/>
      <c r="C885" s="29"/>
      <c r="D885" s="29"/>
    </row>
    <row r="886" spans="1:4" ht="15.75" customHeight="1" x14ac:dyDescent="0.35">
      <c r="A886" s="29"/>
      <c r="B886" s="29"/>
      <c r="C886" s="29"/>
      <c r="D886" s="29"/>
    </row>
    <row r="887" spans="1:4" ht="15.75" customHeight="1" x14ac:dyDescent="0.35">
      <c r="A887" s="29"/>
      <c r="B887" s="29"/>
      <c r="C887" s="29"/>
      <c r="D887" s="29"/>
    </row>
    <row r="888" spans="1:4" ht="15.75" customHeight="1" x14ac:dyDescent="0.35">
      <c r="A888" s="29"/>
      <c r="B888" s="29"/>
      <c r="C888" s="29"/>
      <c r="D888" s="29"/>
    </row>
    <row r="889" spans="1:4" ht="15.75" customHeight="1" x14ac:dyDescent="0.35">
      <c r="A889" s="29"/>
      <c r="B889" s="29"/>
      <c r="C889" s="29"/>
      <c r="D889" s="29"/>
    </row>
    <row r="890" spans="1:4" ht="15.75" customHeight="1" x14ac:dyDescent="0.35">
      <c r="A890" s="29"/>
      <c r="B890" s="29"/>
      <c r="C890" s="29"/>
      <c r="D890" s="29"/>
    </row>
    <row r="891" spans="1:4" ht="15.75" customHeight="1" x14ac:dyDescent="0.35">
      <c r="A891" s="29"/>
      <c r="B891" s="29"/>
      <c r="C891" s="29"/>
      <c r="D891" s="29"/>
    </row>
    <row r="892" spans="1:4" ht="15.75" customHeight="1" x14ac:dyDescent="0.35">
      <c r="A892" s="29"/>
      <c r="B892" s="29"/>
      <c r="C892" s="29"/>
      <c r="D892" s="29"/>
    </row>
    <row r="893" spans="1:4" ht="15.75" customHeight="1" x14ac:dyDescent="0.35">
      <c r="A893" s="29"/>
      <c r="B893" s="29"/>
      <c r="C893" s="29"/>
      <c r="D893" s="29"/>
    </row>
    <row r="894" spans="1:4" ht="15.75" customHeight="1" x14ac:dyDescent="0.35">
      <c r="A894" s="29"/>
      <c r="B894" s="29"/>
      <c r="C894" s="29"/>
      <c r="D894" s="29"/>
    </row>
    <row r="895" spans="1:4" ht="15.75" customHeight="1" x14ac:dyDescent="0.35">
      <c r="A895" s="29"/>
      <c r="B895" s="29"/>
      <c r="C895" s="29"/>
      <c r="D895" s="29"/>
    </row>
    <row r="896" spans="1:4" ht="15.75" customHeight="1" x14ac:dyDescent="0.35">
      <c r="A896" s="29"/>
      <c r="B896" s="29"/>
      <c r="C896" s="29"/>
      <c r="D896" s="29"/>
    </row>
    <row r="897" spans="1:4" ht="15.75" customHeight="1" x14ac:dyDescent="0.35">
      <c r="A897" s="29"/>
      <c r="B897" s="29"/>
      <c r="C897" s="29"/>
      <c r="D897" s="29"/>
    </row>
    <row r="898" spans="1:4" ht="15.75" customHeight="1" x14ac:dyDescent="0.35">
      <c r="A898" s="29"/>
      <c r="B898" s="29"/>
      <c r="C898" s="29"/>
      <c r="D898" s="29"/>
    </row>
    <row r="899" spans="1:4" ht="15.75" customHeight="1" x14ac:dyDescent="0.35">
      <c r="A899" s="29"/>
      <c r="B899" s="29"/>
      <c r="C899" s="29"/>
      <c r="D899" s="29"/>
    </row>
    <row r="900" spans="1:4" ht="15.75" customHeight="1" x14ac:dyDescent="0.35">
      <c r="A900" s="29"/>
      <c r="B900" s="29"/>
      <c r="C900" s="29"/>
      <c r="D900" s="29"/>
    </row>
    <row r="901" spans="1:4" ht="15.75" customHeight="1" x14ac:dyDescent="0.35">
      <c r="A901" s="29"/>
      <c r="B901" s="29"/>
      <c r="C901" s="29"/>
      <c r="D901" s="29"/>
    </row>
    <row r="902" spans="1:4" ht="15.75" customHeight="1" x14ac:dyDescent="0.35">
      <c r="A902" s="29"/>
      <c r="B902" s="29"/>
      <c r="C902" s="29"/>
      <c r="D902" s="29"/>
    </row>
    <row r="903" spans="1:4" ht="15.75" customHeight="1" x14ac:dyDescent="0.35">
      <c r="A903" s="29"/>
      <c r="B903" s="29"/>
      <c r="C903" s="29"/>
      <c r="D903" s="29"/>
    </row>
    <row r="904" spans="1:4" ht="15.75" customHeight="1" x14ac:dyDescent="0.35">
      <c r="A904" s="29"/>
      <c r="B904" s="29"/>
      <c r="C904" s="29"/>
      <c r="D904" s="29"/>
    </row>
    <row r="905" spans="1:4" ht="15.75" customHeight="1" x14ac:dyDescent="0.35">
      <c r="A905" s="29"/>
      <c r="B905" s="29"/>
      <c r="C905" s="29"/>
      <c r="D905" s="29"/>
    </row>
    <row r="906" spans="1:4" ht="15.75" customHeight="1" x14ac:dyDescent="0.35">
      <c r="A906" s="29"/>
      <c r="B906" s="29"/>
      <c r="C906" s="29"/>
      <c r="D906" s="29"/>
    </row>
    <row r="907" spans="1:4" ht="15.75" customHeight="1" x14ac:dyDescent="0.35">
      <c r="A907" s="29"/>
      <c r="B907" s="29"/>
      <c r="C907" s="29"/>
      <c r="D907" s="29"/>
    </row>
    <row r="908" spans="1:4" ht="15.75" customHeight="1" x14ac:dyDescent="0.35">
      <c r="A908" s="29"/>
      <c r="B908" s="29"/>
      <c r="C908" s="29"/>
      <c r="D908" s="29"/>
    </row>
    <row r="909" spans="1:4" ht="15.75" customHeight="1" x14ac:dyDescent="0.35">
      <c r="A909" s="29"/>
      <c r="B909" s="29"/>
      <c r="C909" s="29"/>
      <c r="D909" s="29"/>
    </row>
    <row r="910" spans="1:4" ht="15.75" customHeight="1" x14ac:dyDescent="0.35">
      <c r="A910" s="29"/>
      <c r="B910" s="29"/>
      <c r="C910" s="29"/>
      <c r="D910" s="29"/>
    </row>
    <row r="911" spans="1:4" ht="15.75" customHeight="1" x14ac:dyDescent="0.35">
      <c r="A911" s="29"/>
      <c r="B911" s="29"/>
      <c r="C911" s="29"/>
      <c r="D911" s="29"/>
    </row>
    <row r="912" spans="1:4" ht="15.75" customHeight="1" x14ac:dyDescent="0.35">
      <c r="A912" s="29"/>
      <c r="B912" s="29"/>
      <c r="C912" s="29"/>
      <c r="D912" s="29"/>
    </row>
    <row r="913" spans="1:4" ht="15.75" customHeight="1" x14ac:dyDescent="0.35">
      <c r="A913" s="29"/>
      <c r="B913" s="29"/>
      <c r="C913" s="29"/>
      <c r="D913" s="29"/>
    </row>
    <row r="914" spans="1:4" ht="15.75" customHeight="1" x14ac:dyDescent="0.35">
      <c r="A914" s="29"/>
      <c r="B914" s="29"/>
      <c r="C914" s="29"/>
      <c r="D914" s="29"/>
    </row>
    <row r="915" spans="1:4" ht="15.75" customHeight="1" x14ac:dyDescent="0.35">
      <c r="A915" s="29"/>
      <c r="B915" s="29"/>
      <c r="C915" s="29"/>
      <c r="D915" s="29"/>
    </row>
    <row r="916" spans="1:4" ht="15.75" customHeight="1" x14ac:dyDescent="0.35">
      <c r="A916" s="29"/>
      <c r="B916" s="29"/>
      <c r="C916" s="29"/>
      <c r="D916" s="29"/>
    </row>
    <row r="917" spans="1:4" ht="15.75" customHeight="1" x14ac:dyDescent="0.35">
      <c r="A917" s="29"/>
      <c r="B917" s="29"/>
      <c r="C917" s="29"/>
      <c r="D917" s="29"/>
    </row>
    <row r="918" spans="1:4" ht="15.75" customHeight="1" x14ac:dyDescent="0.35">
      <c r="A918" s="29"/>
      <c r="B918" s="29"/>
      <c r="C918" s="29"/>
      <c r="D918" s="29"/>
    </row>
    <row r="919" spans="1:4" ht="15.75" customHeight="1" x14ac:dyDescent="0.35">
      <c r="A919" s="29"/>
      <c r="B919" s="29"/>
      <c r="C919" s="29"/>
      <c r="D919" s="29"/>
    </row>
    <row r="920" spans="1:4" ht="15.75" customHeight="1" x14ac:dyDescent="0.35">
      <c r="A920" s="29"/>
      <c r="B920" s="29"/>
      <c r="C920" s="29"/>
      <c r="D920" s="29"/>
    </row>
    <row r="921" spans="1:4" ht="15.75" customHeight="1" x14ac:dyDescent="0.35">
      <c r="A921" s="29"/>
      <c r="B921" s="29"/>
      <c r="C921" s="29"/>
      <c r="D921" s="29"/>
    </row>
    <row r="922" spans="1:4" ht="15.75" customHeight="1" x14ac:dyDescent="0.35">
      <c r="A922" s="29"/>
      <c r="B922" s="29"/>
      <c r="C922" s="29"/>
      <c r="D922" s="29"/>
    </row>
    <row r="923" spans="1:4" ht="15.75" customHeight="1" x14ac:dyDescent="0.35">
      <c r="A923" s="29"/>
      <c r="B923" s="29"/>
      <c r="C923" s="29"/>
      <c r="D923" s="29"/>
    </row>
    <row r="924" spans="1:4" ht="15.75" customHeight="1" x14ac:dyDescent="0.35">
      <c r="A924" s="29"/>
      <c r="B924" s="29"/>
      <c r="C924" s="29"/>
      <c r="D924" s="29"/>
    </row>
    <row r="925" spans="1:4" ht="15.75" customHeight="1" x14ac:dyDescent="0.35">
      <c r="A925" s="29"/>
      <c r="B925" s="29"/>
      <c r="C925" s="29"/>
      <c r="D925" s="29"/>
    </row>
    <row r="926" spans="1:4" ht="15.75" customHeight="1" x14ac:dyDescent="0.35">
      <c r="A926" s="29"/>
      <c r="B926" s="29"/>
      <c r="C926" s="29"/>
      <c r="D926" s="29"/>
    </row>
    <row r="927" spans="1:4" ht="15.75" customHeight="1" x14ac:dyDescent="0.35">
      <c r="A927" s="29"/>
      <c r="B927" s="29"/>
      <c r="C927" s="29"/>
      <c r="D927" s="29"/>
    </row>
    <row r="928" spans="1:4" ht="15.75" customHeight="1" x14ac:dyDescent="0.35">
      <c r="A928" s="29"/>
      <c r="B928" s="29"/>
      <c r="C928" s="29"/>
      <c r="D928" s="29"/>
    </row>
    <row r="929" spans="1:4" ht="15.75" customHeight="1" x14ac:dyDescent="0.35">
      <c r="A929" s="29"/>
      <c r="B929" s="29"/>
      <c r="C929" s="29"/>
      <c r="D929" s="29"/>
    </row>
    <row r="930" spans="1:4" ht="15.75" customHeight="1" x14ac:dyDescent="0.35">
      <c r="A930" s="29"/>
      <c r="B930" s="29"/>
      <c r="C930" s="29"/>
      <c r="D930" s="29"/>
    </row>
    <row r="931" spans="1:4" ht="15.75" customHeight="1" x14ac:dyDescent="0.35">
      <c r="A931" s="29"/>
      <c r="B931" s="29"/>
      <c r="C931" s="29"/>
      <c r="D931" s="29"/>
    </row>
    <row r="932" spans="1:4" ht="15.75" customHeight="1" x14ac:dyDescent="0.35">
      <c r="A932" s="29"/>
      <c r="B932" s="29"/>
      <c r="C932" s="29"/>
      <c r="D932" s="29"/>
    </row>
    <row r="933" spans="1:4" ht="15.75" customHeight="1" x14ac:dyDescent="0.35">
      <c r="A933" s="29"/>
      <c r="B933" s="29"/>
      <c r="C933" s="29"/>
      <c r="D933" s="29"/>
    </row>
    <row r="934" spans="1:4" ht="15.75" customHeight="1" x14ac:dyDescent="0.35">
      <c r="A934" s="29"/>
      <c r="B934" s="29"/>
      <c r="C934" s="29"/>
      <c r="D934" s="29"/>
    </row>
    <row r="935" spans="1:4" ht="15.75" customHeight="1" x14ac:dyDescent="0.35">
      <c r="A935" s="29"/>
      <c r="B935" s="29"/>
      <c r="C935" s="29"/>
      <c r="D935" s="29"/>
    </row>
    <row r="936" spans="1:4" ht="15.75" customHeight="1" x14ac:dyDescent="0.35">
      <c r="A936" s="29"/>
      <c r="B936" s="29"/>
      <c r="C936" s="29"/>
      <c r="D936" s="29"/>
    </row>
    <row r="937" spans="1:4" ht="15.75" customHeight="1" x14ac:dyDescent="0.35">
      <c r="A937" s="29"/>
      <c r="B937" s="29"/>
      <c r="C937" s="29"/>
      <c r="D937" s="29"/>
    </row>
    <row r="938" spans="1:4" ht="15.75" customHeight="1" x14ac:dyDescent="0.35">
      <c r="A938" s="29"/>
      <c r="B938" s="29"/>
      <c r="C938" s="29"/>
      <c r="D938" s="29"/>
    </row>
    <row r="939" spans="1:4" ht="15.75" customHeight="1" x14ac:dyDescent="0.35">
      <c r="A939" s="29"/>
      <c r="B939" s="29"/>
      <c r="C939" s="29"/>
      <c r="D939" s="29"/>
    </row>
    <row r="940" spans="1:4" ht="15.75" customHeight="1" x14ac:dyDescent="0.35">
      <c r="A940" s="29"/>
      <c r="B940" s="29"/>
      <c r="C940" s="29"/>
      <c r="D940" s="29"/>
    </row>
    <row r="941" spans="1:4" ht="15.75" customHeight="1" x14ac:dyDescent="0.35">
      <c r="A941" s="29"/>
      <c r="B941" s="29"/>
      <c r="C941" s="29"/>
      <c r="D941" s="29"/>
    </row>
    <row r="942" spans="1:4" ht="15.75" customHeight="1" x14ac:dyDescent="0.35">
      <c r="A942" s="29"/>
      <c r="B942" s="29"/>
      <c r="C942" s="29"/>
      <c r="D942" s="29"/>
    </row>
    <row r="943" spans="1:4" ht="15.75" customHeight="1" x14ac:dyDescent="0.35">
      <c r="A943" s="29"/>
      <c r="B943" s="29"/>
      <c r="C943" s="29"/>
      <c r="D943" s="29"/>
    </row>
    <row r="944" spans="1:4" ht="15.75" customHeight="1" x14ac:dyDescent="0.35">
      <c r="A944" s="29"/>
      <c r="B944" s="29"/>
      <c r="C944" s="29"/>
      <c r="D944" s="29"/>
    </row>
    <row r="945" spans="1:4" ht="15.75" customHeight="1" x14ac:dyDescent="0.35">
      <c r="A945" s="29"/>
      <c r="B945" s="29"/>
      <c r="C945" s="29"/>
      <c r="D945" s="29"/>
    </row>
    <row r="946" spans="1:4" ht="15.75" customHeight="1" x14ac:dyDescent="0.35">
      <c r="A946" s="29"/>
      <c r="B946" s="29"/>
      <c r="C946" s="29"/>
      <c r="D946" s="29"/>
    </row>
    <row r="947" spans="1:4" ht="15.75" customHeight="1" x14ac:dyDescent="0.35">
      <c r="A947" s="29"/>
      <c r="B947" s="29"/>
      <c r="C947" s="29"/>
      <c r="D947" s="29"/>
    </row>
    <row r="948" spans="1:4" ht="15.75" customHeight="1" x14ac:dyDescent="0.35">
      <c r="A948" s="29"/>
      <c r="B948" s="29"/>
      <c r="C948" s="29"/>
      <c r="D948" s="29"/>
    </row>
    <row r="949" spans="1:4" ht="15.75" customHeight="1" x14ac:dyDescent="0.35">
      <c r="A949" s="29"/>
      <c r="B949" s="29"/>
      <c r="C949" s="29"/>
      <c r="D949" s="29"/>
    </row>
    <row r="950" spans="1:4" ht="15.75" customHeight="1" x14ac:dyDescent="0.35">
      <c r="A950" s="29"/>
      <c r="B950" s="29"/>
      <c r="C950" s="29"/>
      <c r="D950" s="29"/>
    </row>
    <row r="951" spans="1:4" ht="15.75" customHeight="1" x14ac:dyDescent="0.35">
      <c r="A951" s="29"/>
      <c r="B951" s="29"/>
      <c r="C951" s="29"/>
      <c r="D951" s="29"/>
    </row>
    <row r="952" spans="1:4" ht="15.75" customHeight="1" x14ac:dyDescent="0.35">
      <c r="A952" s="29"/>
      <c r="B952" s="29"/>
      <c r="C952" s="29"/>
      <c r="D952" s="29"/>
    </row>
    <row r="953" spans="1:4" ht="15.75" customHeight="1" x14ac:dyDescent="0.35">
      <c r="A953" s="29"/>
      <c r="B953" s="29"/>
      <c r="C953" s="29"/>
      <c r="D953" s="29"/>
    </row>
    <row r="954" spans="1:4" ht="15.75" customHeight="1" x14ac:dyDescent="0.35">
      <c r="A954" s="29"/>
      <c r="B954" s="29"/>
      <c r="C954" s="29"/>
      <c r="D954" s="29"/>
    </row>
    <row r="955" spans="1:4" ht="15.75" customHeight="1" x14ac:dyDescent="0.35">
      <c r="A955" s="29"/>
      <c r="B955" s="29"/>
      <c r="C955" s="29"/>
      <c r="D955" s="29"/>
    </row>
    <row r="956" spans="1:4" ht="15.75" customHeight="1" x14ac:dyDescent="0.35">
      <c r="A956" s="29"/>
      <c r="B956" s="29"/>
      <c r="C956" s="29"/>
      <c r="D956" s="29"/>
    </row>
    <row r="957" spans="1:4" ht="15.75" customHeight="1" x14ac:dyDescent="0.35">
      <c r="A957" s="29"/>
      <c r="B957" s="29"/>
      <c r="C957" s="29"/>
      <c r="D957" s="29"/>
    </row>
    <row r="958" spans="1:4" ht="15.75" customHeight="1" x14ac:dyDescent="0.35">
      <c r="A958" s="29"/>
      <c r="B958" s="29"/>
      <c r="C958" s="29"/>
      <c r="D958" s="29"/>
    </row>
    <row r="959" spans="1:4" ht="15.75" customHeight="1" x14ac:dyDescent="0.35">
      <c r="A959" s="29"/>
      <c r="B959" s="29"/>
      <c r="C959" s="29"/>
      <c r="D959" s="29"/>
    </row>
    <row r="960" spans="1:4" ht="15.75" customHeight="1" x14ac:dyDescent="0.35">
      <c r="A960" s="29"/>
      <c r="B960" s="29"/>
      <c r="C960" s="29"/>
      <c r="D960" s="29"/>
    </row>
    <row r="961" spans="1:4" ht="15.75" customHeight="1" x14ac:dyDescent="0.35">
      <c r="A961" s="29"/>
      <c r="B961" s="29"/>
      <c r="C961" s="29"/>
      <c r="D961" s="29"/>
    </row>
    <row r="962" spans="1:4" ht="15.75" customHeight="1" x14ac:dyDescent="0.35">
      <c r="A962" s="29"/>
      <c r="B962" s="29"/>
      <c r="C962" s="29"/>
      <c r="D962" s="29"/>
    </row>
    <row r="963" spans="1:4" ht="15.75" customHeight="1" x14ac:dyDescent="0.35">
      <c r="A963" s="29"/>
      <c r="B963" s="29"/>
      <c r="C963" s="29"/>
      <c r="D963" s="29"/>
    </row>
    <row r="964" spans="1:4" ht="15.75" customHeight="1" x14ac:dyDescent="0.35">
      <c r="A964" s="29"/>
      <c r="B964" s="29"/>
      <c r="C964" s="29"/>
      <c r="D964" s="29"/>
    </row>
    <row r="965" spans="1:4" ht="15.75" customHeight="1" x14ac:dyDescent="0.35">
      <c r="A965" s="29"/>
      <c r="B965" s="29"/>
      <c r="C965" s="29"/>
      <c r="D965" s="29"/>
    </row>
    <row r="966" spans="1:4" ht="15.75" customHeight="1" x14ac:dyDescent="0.35">
      <c r="A966" s="29"/>
      <c r="B966" s="29"/>
      <c r="C966" s="29"/>
      <c r="D966" s="29"/>
    </row>
    <row r="967" spans="1:4" ht="15.75" customHeight="1" x14ac:dyDescent="0.35">
      <c r="A967" s="29"/>
      <c r="B967" s="29"/>
      <c r="C967" s="29"/>
      <c r="D967" s="29"/>
    </row>
    <row r="968" spans="1:4" ht="15.75" customHeight="1" x14ac:dyDescent="0.35">
      <c r="A968" s="29"/>
      <c r="B968" s="29"/>
      <c r="C968" s="29"/>
      <c r="D968" s="29"/>
    </row>
    <row r="969" spans="1:4" ht="15.75" customHeight="1" x14ac:dyDescent="0.35">
      <c r="A969" s="29"/>
      <c r="B969" s="29"/>
      <c r="C969" s="29"/>
      <c r="D969" s="29"/>
    </row>
    <row r="970" spans="1:4" ht="15.75" customHeight="1" x14ac:dyDescent="0.35">
      <c r="A970" s="29"/>
      <c r="B970" s="29"/>
      <c r="C970" s="29"/>
      <c r="D970" s="29"/>
    </row>
    <row r="971" spans="1:4" ht="15.75" customHeight="1" x14ac:dyDescent="0.35">
      <c r="A971" s="29"/>
      <c r="B971" s="29"/>
      <c r="C971" s="29"/>
      <c r="D971" s="29"/>
    </row>
    <row r="972" spans="1:4" ht="15.75" customHeight="1" x14ac:dyDescent="0.35">
      <c r="A972" s="29"/>
      <c r="B972" s="29"/>
      <c r="C972" s="29"/>
      <c r="D972" s="29"/>
    </row>
    <row r="973" spans="1:4" ht="15.75" customHeight="1" x14ac:dyDescent="0.35">
      <c r="A973" s="29"/>
      <c r="B973" s="29"/>
      <c r="C973" s="29"/>
      <c r="D973" s="29"/>
    </row>
    <row r="974" spans="1:4" ht="15.75" customHeight="1" x14ac:dyDescent="0.35">
      <c r="A974" s="29"/>
      <c r="B974" s="29"/>
      <c r="C974" s="29"/>
      <c r="D974" s="29"/>
    </row>
    <row r="975" spans="1:4" ht="15.75" customHeight="1" x14ac:dyDescent="0.35">
      <c r="A975" s="29"/>
      <c r="B975" s="29"/>
      <c r="C975" s="29"/>
      <c r="D975" s="29"/>
    </row>
    <row r="976" spans="1:4" ht="15.75" customHeight="1" x14ac:dyDescent="0.35">
      <c r="A976" s="29"/>
      <c r="B976" s="29"/>
      <c r="C976" s="29"/>
      <c r="D976" s="29"/>
    </row>
    <row r="977" spans="1:4" ht="15.75" customHeight="1" x14ac:dyDescent="0.35">
      <c r="A977" s="29"/>
      <c r="B977" s="29"/>
      <c r="C977" s="29"/>
      <c r="D977" s="29"/>
    </row>
    <row r="978" spans="1:4" ht="15.75" customHeight="1" x14ac:dyDescent="0.35">
      <c r="A978" s="29"/>
      <c r="B978" s="29"/>
      <c r="C978" s="29"/>
      <c r="D978" s="29"/>
    </row>
    <row r="979" spans="1:4" ht="15.75" customHeight="1" x14ac:dyDescent="0.35">
      <c r="A979" s="29"/>
      <c r="B979" s="29"/>
      <c r="C979" s="29"/>
      <c r="D979" s="29"/>
    </row>
    <row r="980" spans="1:4" ht="15.75" customHeight="1" x14ac:dyDescent="0.35">
      <c r="A980" s="29"/>
      <c r="B980" s="29"/>
      <c r="C980" s="29"/>
      <c r="D980" s="29"/>
    </row>
    <row r="981" spans="1:4" ht="15.75" customHeight="1" x14ac:dyDescent="0.35">
      <c r="A981" s="29"/>
      <c r="B981" s="29"/>
      <c r="C981" s="29"/>
      <c r="D981" s="29"/>
    </row>
    <row r="982" spans="1:4" ht="15.75" customHeight="1" x14ac:dyDescent="0.35">
      <c r="A982" s="29"/>
      <c r="B982" s="29"/>
      <c r="C982" s="29"/>
      <c r="D982" s="29"/>
    </row>
    <row r="983" spans="1:4" ht="15.75" customHeight="1" x14ac:dyDescent="0.35">
      <c r="A983" s="29"/>
      <c r="B983" s="29"/>
      <c r="C983" s="29"/>
      <c r="D983" s="29"/>
    </row>
    <row r="984" spans="1:4" ht="15.75" customHeight="1" x14ac:dyDescent="0.35">
      <c r="A984" s="29"/>
      <c r="B984" s="29"/>
      <c r="C984" s="29"/>
      <c r="D984" s="29"/>
    </row>
    <row r="985" spans="1:4" ht="15.75" customHeight="1" x14ac:dyDescent="0.35">
      <c r="A985" s="29"/>
      <c r="B985" s="29"/>
      <c r="C985" s="29"/>
      <c r="D985" s="29"/>
    </row>
    <row r="986" spans="1:4" ht="15.75" customHeight="1" x14ac:dyDescent="0.35">
      <c r="A986" s="29"/>
      <c r="B986" s="29"/>
      <c r="C986" s="29"/>
      <c r="D986" s="29"/>
    </row>
    <row r="987" spans="1:4" ht="15.75" customHeight="1" x14ac:dyDescent="0.35">
      <c r="A987" s="29"/>
      <c r="B987" s="29"/>
      <c r="C987" s="29"/>
      <c r="D987" s="29"/>
    </row>
    <row r="988" spans="1:4" ht="15.75" customHeight="1" x14ac:dyDescent="0.35">
      <c r="A988" s="29"/>
      <c r="B988" s="29"/>
      <c r="C988" s="29"/>
      <c r="D988" s="29"/>
    </row>
    <row r="989" spans="1:4" ht="15.75" customHeight="1" x14ac:dyDescent="0.35">
      <c r="A989" s="29"/>
      <c r="B989" s="29"/>
      <c r="C989" s="29"/>
      <c r="D989" s="29"/>
    </row>
    <row r="990" spans="1:4" ht="15.75" customHeight="1" x14ac:dyDescent="0.35">
      <c r="A990" s="29"/>
      <c r="B990" s="29"/>
      <c r="C990" s="29"/>
      <c r="D990" s="29"/>
    </row>
    <row r="991" spans="1:4" ht="15.75" customHeight="1" x14ac:dyDescent="0.35">
      <c r="A991" s="29"/>
      <c r="B991" s="29"/>
      <c r="C991" s="29"/>
      <c r="D991" s="29"/>
    </row>
    <row r="992" spans="1:4" ht="15.75" customHeight="1" x14ac:dyDescent="0.35">
      <c r="A992" s="29"/>
      <c r="B992" s="29"/>
      <c r="C992" s="29"/>
      <c r="D992" s="29"/>
    </row>
    <row r="993" spans="1:4" ht="15.75" customHeight="1" x14ac:dyDescent="0.35">
      <c r="A993" s="29"/>
      <c r="B993" s="29"/>
      <c r="C993" s="29"/>
      <c r="D993" s="29"/>
    </row>
    <row r="994" spans="1:4" ht="15.75" customHeight="1" x14ac:dyDescent="0.35">
      <c r="A994" s="29"/>
      <c r="B994" s="29"/>
      <c r="C994" s="29"/>
      <c r="D994" s="29"/>
    </row>
    <row r="995" spans="1:4" ht="15.75" customHeight="1" x14ac:dyDescent="0.35">
      <c r="A995" s="29"/>
      <c r="B995" s="29"/>
      <c r="C995" s="29"/>
      <c r="D995" s="29"/>
    </row>
    <row r="996" spans="1:4" ht="15.75" customHeight="1" x14ac:dyDescent="0.35">
      <c r="A996" s="29"/>
      <c r="B996" s="29"/>
      <c r="C996" s="29"/>
      <c r="D996" s="29"/>
    </row>
    <row r="997" spans="1:4" ht="15.75" customHeight="1" x14ac:dyDescent="0.35">
      <c r="A997" s="29"/>
      <c r="B997" s="29"/>
      <c r="C997" s="29"/>
      <c r="D997" s="29"/>
    </row>
    <row r="998" spans="1:4" ht="15.75" customHeight="1" x14ac:dyDescent="0.35">
      <c r="A998" s="29"/>
      <c r="B998" s="29"/>
      <c r="C998" s="29"/>
      <c r="D998" s="29"/>
    </row>
    <row r="999" spans="1:4" ht="15.75" customHeight="1" x14ac:dyDescent="0.35">
      <c r="A999" s="29"/>
      <c r="B999" s="29"/>
      <c r="C999" s="29"/>
      <c r="D999" s="29"/>
    </row>
    <row r="1000" spans="1:4" ht="15.75" customHeight="1" x14ac:dyDescent="0.35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D14E-DAC0-4088-BA79-DDE2712EE83F}">
  <dimension ref="A1:D68"/>
  <sheetViews>
    <sheetView workbookViewId="0">
      <selection activeCell="F70" sqref="F70"/>
    </sheetView>
  </sheetViews>
  <sheetFormatPr baseColWidth="10" defaultRowHeight="14.5" x14ac:dyDescent="0.35"/>
  <cols>
    <col min="2" max="2" width="17.26953125" bestFit="1" customWidth="1"/>
    <col min="3" max="3" width="18.6328125" customWidth="1"/>
    <col min="4" max="4" width="17.453125" customWidth="1"/>
  </cols>
  <sheetData>
    <row r="1" spans="1:4" x14ac:dyDescent="0.35">
      <c r="A1" s="45" t="s">
        <v>44</v>
      </c>
      <c r="B1" s="45" t="s">
        <v>45</v>
      </c>
      <c r="C1" s="45" t="s">
        <v>46</v>
      </c>
      <c r="D1" s="45" t="s">
        <v>47</v>
      </c>
    </row>
    <row r="2" spans="1:4" x14ac:dyDescent="0.35">
      <c r="A2">
        <v>24</v>
      </c>
      <c r="B2" s="46">
        <f>SUMIF(Table_1[[#All],[ID client]],Tableau2[[#This Row],[Clients]],Table_1[[#All],[Montant]])</f>
        <v>1510.3300000000002</v>
      </c>
      <c r="C2" s="47">
        <f>SUMIFS(Table_1[[#All],[Montant]],Table_1[[#All],[ID client]],Tableau2[[#This Row],[Clients]],Table_1[[#All],[Categorie]],"nourriture")</f>
        <v>878.62000000000012</v>
      </c>
      <c r="D2" s="47">
        <f>SUMIFS(Table_1[[#All],[Montant]],Table_1[[#All],[ID client]],Tableau2[[#This Row],[Clients]],Table_1[[#All],[Categorie]],"bien de conso.")</f>
        <v>631.71</v>
      </c>
    </row>
    <row r="3" spans="1:4" x14ac:dyDescent="0.35">
      <c r="A3">
        <v>25</v>
      </c>
      <c r="B3" s="46">
        <f>SUMIF(Table_1[[#All],[ID client]],Tableau2[[#This Row],[Clients]],Table_1[[#All],[Montant]])</f>
        <v>1397.1499999999999</v>
      </c>
      <c r="C3" s="47">
        <f>SUMIFS(Table_1[[#All],[Montant]],Table_1[[#All],[ID client]],Tableau2[[#This Row],[Clients]],Table_1[[#All],[Categorie]],"nourriture")</f>
        <v>1028.4100000000001</v>
      </c>
      <c r="D3" s="47">
        <f>SUMIFS(Table_1[[#All],[Montant]],Table_1[[#All],[ID client]],Tableau2[[#This Row],[Clients]],Table_1[[#All],[Categorie]],"bien de conso.")</f>
        <v>368.74</v>
      </c>
    </row>
    <row r="4" spans="1:4" x14ac:dyDescent="0.35">
      <c r="A4">
        <v>26</v>
      </c>
      <c r="B4" s="46">
        <f>SUMIF(Table_1[[#All],[ID client]],Tableau2[[#This Row],[Clients]],Table_1[[#All],[Montant]])</f>
        <v>1338.7499999999998</v>
      </c>
      <c r="C4" s="47">
        <f>SUMIFS(Table_1[[#All],[Montant]],Table_1[[#All],[ID client]],Tableau2[[#This Row],[Clients]],Table_1[[#All],[Categorie]],"nourriture")</f>
        <v>719.24000000000012</v>
      </c>
      <c r="D4" s="47">
        <f>SUMIFS(Table_1[[#All],[Montant]],Table_1[[#All],[ID client]],Tableau2[[#This Row],[Clients]],Table_1[[#All],[Categorie]],"bien de conso.")</f>
        <v>619.50999999999988</v>
      </c>
    </row>
    <row r="5" spans="1:4" x14ac:dyDescent="0.35">
      <c r="A5">
        <v>36</v>
      </c>
      <c r="B5" s="46">
        <f>SUMIF(Table_1[[#All],[ID client]],Tableau2[[#This Row],[Clients]],Table_1[[#All],[Montant]])</f>
        <v>1234.8499999999997</v>
      </c>
      <c r="C5" s="47">
        <f>SUMIFS(Table_1[[#All],[Montant]],Table_1[[#All],[ID client]],Tableau2[[#This Row],[Clients]],Table_1[[#All],[Categorie]],"nourriture")</f>
        <v>729.20999999999992</v>
      </c>
      <c r="D5" s="47">
        <f>SUMIFS(Table_1[[#All],[Montant]],Table_1[[#All],[ID client]],Tableau2[[#This Row],[Clients]],Table_1[[#All],[Categorie]],"bien de conso.")</f>
        <v>505.64</v>
      </c>
    </row>
    <row r="6" spans="1:4" x14ac:dyDescent="0.35">
      <c r="A6">
        <v>20</v>
      </c>
      <c r="B6" s="46">
        <f>SUMIF(Table_1[[#All],[ID client]],Tableau2[[#This Row],[Clients]],Table_1[[#All],[Montant]])</f>
        <v>1147.95</v>
      </c>
      <c r="C6" s="47">
        <f>SUMIFS(Table_1[[#All],[Montant]],Table_1[[#All],[ID client]],Tableau2[[#This Row],[Clients]],Table_1[[#All],[Categorie]],"nourriture")</f>
        <v>779.14999999999986</v>
      </c>
      <c r="D6" s="47">
        <f>SUMIFS(Table_1[[#All],[Montant]],Table_1[[#All],[ID client]],Tableau2[[#This Row],[Clients]],Table_1[[#All],[Categorie]],"bien de conso.")</f>
        <v>368.8</v>
      </c>
    </row>
    <row r="7" spans="1:4" x14ac:dyDescent="0.35">
      <c r="A7">
        <v>35</v>
      </c>
      <c r="B7" s="46">
        <f>SUMIF(Table_1[[#All],[ID client]],Tableau2[[#This Row],[Clients]],Table_1[[#All],[Montant]])</f>
        <v>1121.9999999999998</v>
      </c>
      <c r="C7" s="47">
        <f>SUMIFS(Table_1[[#All],[Montant]],Table_1[[#All],[ID client]],Tableau2[[#This Row],[Clients]],Table_1[[#All],[Categorie]],"nourriture")</f>
        <v>639.66</v>
      </c>
      <c r="D7" s="47">
        <f>SUMIFS(Table_1[[#All],[Montant]],Table_1[[#All],[ID client]],Tableau2[[#This Row],[Clients]],Table_1[[#All],[Categorie]],"bien de conso.")</f>
        <v>482.34</v>
      </c>
    </row>
    <row r="8" spans="1:4" x14ac:dyDescent="0.35">
      <c r="A8">
        <v>31</v>
      </c>
      <c r="B8" s="46">
        <f>SUMIF(Table_1[[#All],[ID client]],Tableau2[[#This Row],[Clients]],Table_1[[#All],[Montant]])</f>
        <v>1115.21</v>
      </c>
      <c r="C8" s="47">
        <f>SUMIFS(Table_1[[#All],[Montant]],Table_1[[#All],[ID client]],Tableau2[[#This Row],[Clients]],Table_1[[#All],[Categorie]],"nourriture")</f>
        <v>525.25</v>
      </c>
      <c r="D8" s="47">
        <f>SUMIFS(Table_1[[#All],[Montant]],Table_1[[#All],[ID client]],Tableau2[[#This Row],[Clients]],Table_1[[#All],[Categorie]],"bien de conso.")</f>
        <v>589.95999999999992</v>
      </c>
    </row>
    <row r="9" spans="1:4" x14ac:dyDescent="0.35">
      <c r="A9">
        <v>38</v>
      </c>
      <c r="B9" s="46">
        <f>SUMIF(Table_1[[#All],[ID client]],Tableau2[[#This Row],[Clients]],Table_1[[#All],[Montant]])</f>
        <v>1095.01</v>
      </c>
      <c r="C9" s="47">
        <f>SUMIFS(Table_1[[#All],[Montant]],Table_1[[#All],[ID client]],Tableau2[[#This Row],[Clients]],Table_1[[#All],[Categorie]],"nourriture")</f>
        <v>526.25</v>
      </c>
      <c r="D9" s="47">
        <f>SUMIFS(Table_1[[#All],[Montant]],Table_1[[#All],[ID client]],Tableau2[[#This Row],[Clients]],Table_1[[#All],[Categorie]],"bien de conso.")</f>
        <v>568.76</v>
      </c>
    </row>
    <row r="10" spans="1:4" x14ac:dyDescent="0.35">
      <c r="A10">
        <v>15</v>
      </c>
      <c r="B10" s="46">
        <f>SUMIF(Table_1[[#All],[ID client]],Tableau2[[#This Row],[Clients]],Table_1[[#All],[Montant]])</f>
        <v>1063</v>
      </c>
      <c r="C10" s="47">
        <f>SUMIFS(Table_1[[#All],[Montant]],Table_1[[#All],[ID client]],Tableau2[[#This Row],[Clients]],Table_1[[#All],[Categorie]],"nourriture")</f>
        <v>872.33999999999992</v>
      </c>
      <c r="D10" s="47">
        <f>SUMIFS(Table_1[[#All],[Montant]],Table_1[[#All],[ID client]],Tableau2[[#This Row],[Clients]],Table_1[[#All],[Categorie]],"bien de conso.")</f>
        <v>190.66</v>
      </c>
    </row>
    <row r="11" spans="1:4" x14ac:dyDescent="0.35">
      <c r="A11">
        <v>22</v>
      </c>
      <c r="B11" s="46">
        <f>SUMIF(Table_1[[#All],[ID client]],Tableau2[[#This Row],[Clients]],Table_1[[#All],[Montant]])</f>
        <v>1034.7</v>
      </c>
      <c r="C11" s="47">
        <f>SUMIFS(Table_1[[#All],[Montant]],Table_1[[#All],[ID client]],Tableau2[[#This Row],[Clients]],Table_1[[#All],[Categorie]],"nourriture")</f>
        <v>743.33</v>
      </c>
      <c r="D11" s="47">
        <f>SUMIFS(Table_1[[#All],[Montant]],Table_1[[#All],[ID client]],Tableau2[[#This Row],[Clients]],Table_1[[#All],[Categorie]],"bien de conso.")</f>
        <v>291.37</v>
      </c>
    </row>
    <row r="12" spans="1:4" hidden="1" x14ac:dyDescent="0.35">
      <c r="A12">
        <v>28</v>
      </c>
      <c r="B12" s="46">
        <f>SUMIF(Table_1[[#All],[ID client]],Tableau2[[#This Row],[Clients]],Table_1[[#All],[Montant]])</f>
        <v>1025.3400000000001</v>
      </c>
      <c r="C12" s="47">
        <f>SUMIFS(Table_1[[#All],[Montant]],Table_1[[#All],[ID client]],Tableau2[[#This Row],[Clients]],Table_1[[#All],[Categorie]],"nourriture")</f>
        <v>481.02</v>
      </c>
      <c r="D12" s="47">
        <f>SUMIFS(Table_1[[#All],[Montant]],Table_1[[#All],[ID client]],Tableau2[[#This Row],[Clients]],Table_1[[#All],[Categorie]],"bien de conso.")</f>
        <v>544.32000000000005</v>
      </c>
    </row>
    <row r="13" spans="1:4" hidden="1" x14ac:dyDescent="0.35">
      <c r="A13">
        <v>18</v>
      </c>
      <c r="B13" s="46">
        <f>SUMIF(Table_1[[#All],[ID client]],Tableau2[[#This Row],[Clients]],Table_1[[#All],[Montant]])</f>
        <v>1014.25</v>
      </c>
      <c r="C13" s="47">
        <f>SUMIFS(Table_1[[#All],[Montant]],Table_1[[#All],[ID client]],Tableau2[[#This Row],[Clients]],Table_1[[#All],[Categorie]],"nourriture")</f>
        <v>483.06</v>
      </c>
      <c r="D13" s="47">
        <f>SUMIFS(Table_1[[#All],[Montant]],Table_1[[#All],[ID client]],Tableau2[[#This Row],[Clients]],Table_1[[#All],[Categorie]],"bien de conso.")</f>
        <v>531.19000000000005</v>
      </c>
    </row>
    <row r="14" spans="1:4" hidden="1" x14ac:dyDescent="0.35">
      <c r="A14">
        <v>30</v>
      </c>
      <c r="B14" s="46">
        <f>SUMIF(Table_1[[#All],[ID client]],Tableau2[[#This Row],[Clients]],Table_1[[#All],[Montant]])</f>
        <v>1000.72</v>
      </c>
      <c r="C14" s="47">
        <f>SUMIFS(Table_1[[#All],[Montant]],Table_1[[#All],[ID client]],Tableau2[[#This Row],[Clients]],Table_1[[#All],[Categorie]],"nourriture")</f>
        <v>519.32999999999993</v>
      </c>
      <c r="D14" s="47">
        <f>SUMIFS(Table_1[[#All],[Montant]],Table_1[[#All],[ID client]],Tableau2[[#This Row],[Clients]],Table_1[[#All],[Categorie]],"bien de conso.")</f>
        <v>481.38999999999993</v>
      </c>
    </row>
    <row r="15" spans="1:4" hidden="1" x14ac:dyDescent="0.35">
      <c r="A15">
        <v>16</v>
      </c>
      <c r="B15" s="46">
        <f>SUMIF(Table_1[[#All],[ID client]],Tableau2[[#This Row],[Clients]],Table_1[[#All],[Montant]])</f>
        <v>967.04</v>
      </c>
      <c r="C15" s="47">
        <f>SUMIFS(Table_1[[#All],[Montant]],Table_1[[#All],[ID client]],Tableau2[[#This Row],[Clients]],Table_1[[#All],[Categorie]],"nourriture")</f>
        <v>588.88</v>
      </c>
      <c r="D15" s="47">
        <f>SUMIFS(Table_1[[#All],[Montant]],Table_1[[#All],[ID client]],Tableau2[[#This Row],[Clients]],Table_1[[#All],[Categorie]],"bien de conso.")</f>
        <v>378.16</v>
      </c>
    </row>
    <row r="16" spans="1:4" hidden="1" x14ac:dyDescent="0.35">
      <c r="A16">
        <v>27</v>
      </c>
      <c r="B16" s="46">
        <f>SUMIF(Table_1[[#All],[ID client]],Tableau2[[#This Row],[Clients]],Table_1[[#All],[Montant]])</f>
        <v>935.5300000000002</v>
      </c>
      <c r="C16" s="47">
        <f>SUMIFS(Table_1[[#All],[Montant]],Table_1[[#All],[ID client]],Tableau2[[#This Row],[Clients]],Table_1[[#All],[Categorie]],"nourriture")</f>
        <v>570.93000000000006</v>
      </c>
      <c r="D16" s="47">
        <f>SUMIFS(Table_1[[#All],[Montant]],Table_1[[#All],[ID client]],Tableau2[[#This Row],[Clients]],Table_1[[#All],[Categorie]],"bien de conso.")</f>
        <v>364.6</v>
      </c>
    </row>
    <row r="17" spans="1:4" hidden="1" x14ac:dyDescent="0.35">
      <c r="A17">
        <v>17</v>
      </c>
      <c r="B17" s="46">
        <f>SUMIF(Table_1[[#All],[ID client]],Tableau2[[#This Row],[Clients]],Table_1[[#All],[Montant]])</f>
        <v>908.8599999999999</v>
      </c>
      <c r="C17" s="47">
        <f>SUMIFS(Table_1[[#All],[Montant]],Table_1[[#All],[ID client]],Tableau2[[#This Row],[Clients]],Table_1[[#All],[Categorie]],"nourriture")</f>
        <v>783.24999999999989</v>
      </c>
      <c r="D17" s="47">
        <f>SUMIFS(Table_1[[#All],[Montant]],Table_1[[#All],[ID client]],Tableau2[[#This Row],[Clients]],Table_1[[#All],[Categorie]],"bien de conso.")</f>
        <v>125.60999999999999</v>
      </c>
    </row>
    <row r="18" spans="1:4" hidden="1" x14ac:dyDescent="0.35">
      <c r="A18">
        <v>14</v>
      </c>
      <c r="B18" s="46">
        <f>SUMIF(Table_1[[#All],[ID client]],Tableau2[[#This Row],[Clients]],Table_1[[#All],[Montant]])</f>
        <v>885.93000000000018</v>
      </c>
      <c r="C18" s="47">
        <f>SUMIFS(Table_1[[#All],[Montant]],Table_1[[#All],[ID client]],Tableau2[[#This Row],[Clients]],Table_1[[#All],[Categorie]],"nourriture")</f>
        <v>612.15000000000009</v>
      </c>
      <c r="D18" s="47">
        <f>SUMIFS(Table_1[[#All],[Montant]],Table_1[[#All],[ID client]],Tableau2[[#This Row],[Clients]],Table_1[[#All],[Categorie]],"bien de conso.")</f>
        <v>273.78000000000003</v>
      </c>
    </row>
    <row r="19" spans="1:4" hidden="1" x14ac:dyDescent="0.35">
      <c r="A19">
        <v>9</v>
      </c>
      <c r="B19" s="46">
        <f>SUMIF(Table_1[[#All],[ID client]],Tableau2[[#This Row],[Clients]],Table_1[[#All],[Montant]])</f>
        <v>882.2299999999999</v>
      </c>
      <c r="C19" s="47">
        <f>SUMIFS(Table_1[[#All],[Montant]],Table_1[[#All],[ID client]],Tableau2[[#This Row],[Clients]],Table_1[[#All],[Categorie]],"nourriture")</f>
        <v>608.84</v>
      </c>
      <c r="D19" s="47">
        <f>SUMIFS(Table_1[[#All],[Montant]],Table_1[[#All],[ID client]],Tableau2[[#This Row],[Clients]],Table_1[[#All],[Categorie]],"bien de conso.")</f>
        <v>273.39</v>
      </c>
    </row>
    <row r="20" spans="1:4" hidden="1" x14ac:dyDescent="0.35">
      <c r="A20">
        <v>2</v>
      </c>
      <c r="B20" s="46">
        <f>SUMIF(Table_1[[#All],[ID client]],Tableau2[[#This Row],[Clients]],Table_1[[#All],[Montant]])</f>
        <v>871.63</v>
      </c>
      <c r="C20" s="47">
        <f>SUMIFS(Table_1[[#All],[Montant]],Table_1[[#All],[ID client]],Tableau2[[#This Row],[Clients]],Table_1[[#All],[Categorie]],"nourriture")</f>
        <v>728.96999999999991</v>
      </c>
      <c r="D20" s="47">
        <f>SUMIFS(Table_1[[#All],[Montant]],Table_1[[#All],[ID client]],Tableau2[[#This Row],[Clients]],Table_1[[#All],[Categorie]],"bien de conso.")</f>
        <v>142.66</v>
      </c>
    </row>
    <row r="21" spans="1:4" hidden="1" x14ac:dyDescent="0.35">
      <c r="A21">
        <v>7</v>
      </c>
      <c r="B21" s="46">
        <f>SUMIF(Table_1[[#All],[ID client]],Tableau2[[#This Row],[Clients]],Table_1[[#All],[Montant]])</f>
        <v>857.25999999999976</v>
      </c>
      <c r="C21" s="47">
        <f>SUMIFS(Table_1[[#All],[Montant]],Table_1[[#All],[ID client]],Tableau2[[#This Row],[Clients]],Table_1[[#All],[Categorie]],"nourriture")</f>
        <v>320.98999999999995</v>
      </c>
      <c r="D21" s="47">
        <f>SUMIFS(Table_1[[#All],[Montant]],Table_1[[#All],[ID client]],Tableau2[[#This Row],[Clients]],Table_1[[#All],[Categorie]],"bien de conso.")</f>
        <v>536.26999999999987</v>
      </c>
    </row>
    <row r="22" spans="1:4" hidden="1" x14ac:dyDescent="0.35">
      <c r="A22">
        <v>23</v>
      </c>
      <c r="B22" s="46">
        <f>SUMIF(Table_1[[#All],[ID client]],Tableau2[[#This Row],[Clients]],Table_1[[#All],[Montant]])</f>
        <v>834.14</v>
      </c>
      <c r="C22" s="47">
        <f>SUMIFS(Table_1[[#All],[Montant]],Table_1[[#All],[ID client]],Tableau2[[#This Row],[Clients]],Table_1[[#All],[Categorie]],"nourriture")</f>
        <v>415.29999999999995</v>
      </c>
      <c r="D22" s="47">
        <f>SUMIFS(Table_1[[#All],[Montant]],Table_1[[#All],[ID client]],Tableau2[[#This Row],[Clients]],Table_1[[#All],[Categorie]],"bien de conso.")</f>
        <v>418.84</v>
      </c>
    </row>
    <row r="23" spans="1:4" hidden="1" x14ac:dyDescent="0.35">
      <c r="A23">
        <v>29</v>
      </c>
      <c r="B23" s="46">
        <f>SUMIF(Table_1[[#All],[ID client]],Tableau2[[#This Row],[Clients]],Table_1[[#All],[Montant]])</f>
        <v>798.3399999999998</v>
      </c>
      <c r="C23" s="47">
        <f>SUMIFS(Table_1[[#All],[Montant]],Table_1[[#All],[ID client]],Tableau2[[#This Row],[Clients]],Table_1[[#All],[Categorie]],"nourriture")</f>
        <v>541.62000000000012</v>
      </c>
      <c r="D23" s="47">
        <f>SUMIFS(Table_1[[#All],[Montant]],Table_1[[#All],[ID client]],Tableau2[[#This Row],[Clients]],Table_1[[#All],[Categorie]],"bien de conso.")</f>
        <v>256.71999999999997</v>
      </c>
    </row>
    <row r="24" spans="1:4" hidden="1" x14ac:dyDescent="0.35">
      <c r="A24">
        <v>41</v>
      </c>
      <c r="B24" s="46">
        <f>SUMIF(Table_1[[#All],[ID client]],Tableau2[[#This Row],[Clients]],Table_1[[#All],[Montant]])</f>
        <v>784.98</v>
      </c>
      <c r="C24" s="47">
        <f>SUMIFS(Table_1[[#All],[Montant]],Table_1[[#All],[ID client]],Tableau2[[#This Row],[Clients]],Table_1[[#All],[Categorie]],"nourriture")</f>
        <v>547.75</v>
      </c>
      <c r="D24" s="47">
        <f>SUMIFS(Table_1[[#All],[Montant]],Table_1[[#All],[ID client]],Tableau2[[#This Row],[Clients]],Table_1[[#All],[Categorie]],"bien de conso.")</f>
        <v>237.22999999999996</v>
      </c>
    </row>
    <row r="25" spans="1:4" hidden="1" x14ac:dyDescent="0.35">
      <c r="A25">
        <v>34</v>
      </c>
      <c r="B25" s="46">
        <f>SUMIF(Table_1[[#All],[ID client]],Tableau2[[#This Row],[Clients]],Table_1[[#All],[Montant]])</f>
        <v>763.02</v>
      </c>
      <c r="C25" s="47">
        <f>SUMIFS(Table_1[[#All],[Montant]],Table_1[[#All],[ID client]],Tableau2[[#This Row],[Clients]],Table_1[[#All],[Categorie]],"nourriture")</f>
        <v>299.14999999999998</v>
      </c>
      <c r="D25" s="47">
        <f>SUMIFS(Table_1[[#All],[Montant]],Table_1[[#All],[ID client]],Tableau2[[#This Row],[Clients]],Table_1[[#All],[Categorie]],"bien de conso.")</f>
        <v>463.87</v>
      </c>
    </row>
    <row r="26" spans="1:4" hidden="1" x14ac:dyDescent="0.35">
      <c r="A26">
        <v>10</v>
      </c>
      <c r="B26" s="46">
        <f>SUMIF(Table_1[[#All],[ID client]],Tableau2[[#This Row],[Clients]],Table_1[[#All],[Montant]])</f>
        <v>747.67000000000007</v>
      </c>
      <c r="C26" s="47">
        <f>SUMIFS(Table_1[[#All],[Montant]],Table_1[[#All],[ID client]],Tableau2[[#This Row],[Clients]],Table_1[[#All],[Categorie]],"nourriture")</f>
        <v>523.89</v>
      </c>
      <c r="D26" s="47">
        <f>SUMIFS(Table_1[[#All],[Montant]],Table_1[[#All],[ID client]],Tableau2[[#This Row],[Clients]],Table_1[[#All],[Categorie]],"bien de conso.")</f>
        <v>223.78</v>
      </c>
    </row>
    <row r="27" spans="1:4" hidden="1" x14ac:dyDescent="0.35">
      <c r="A27">
        <v>5</v>
      </c>
      <c r="B27" s="46">
        <f>SUMIF(Table_1[[#All],[ID client]],Tableau2[[#This Row],[Clients]],Table_1[[#All],[Montant]])</f>
        <v>743.66</v>
      </c>
      <c r="C27" s="47">
        <f>SUMIFS(Table_1[[#All],[Montant]],Table_1[[#All],[ID client]],Tableau2[[#This Row],[Clients]],Table_1[[#All],[Categorie]],"nourriture")</f>
        <v>580.51999999999987</v>
      </c>
      <c r="D27" s="47">
        <f>SUMIFS(Table_1[[#All],[Montant]],Table_1[[#All],[ID client]],Tableau2[[#This Row],[Clients]],Table_1[[#All],[Categorie]],"bien de conso.")</f>
        <v>163.14000000000001</v>
      </c>
    </row>
    <row r="28" spans="1:4" hidden="1" x14ac:dyDescent="0.35">
      <c r="A28">
        <v>32</v>
      </c>
      <c r="B28" s="46">
        <f>SUMIF(Table_1[[#All],[ID client]],Tableau2[[#This Row],[Clients]],Table_1[[#All],[Montant]])</f>
        <v>742.90999999999985</v>
      </c>
      <c r="C28" s="47">
        <f>SUMIFS(Table_1[[#All],[Montant]],Table_1[[#All],[ID client]],Tableau2[[#This Row],[Clients]],Table_1[[#All],[Categorie]],"nourriture")</f>
        <v>742.90999999999985</v>
      </c>
      <c r="D28" s="47">
        <f>SUMIFS(Table_1[[#All],[Montant]],Table_1[[#All],[ID client]],Tableau2[[#This Row],[Clients]],Table_1[[#All],[Categorie]],"bien de conso.")</f>
        <v>0</v>
      </c>
    </row>
    <row r="29" spans="1:4" hidden="1" x14ac:dyDescent="0.35">
      <c r="A29">
        <v>19</v>
      </c>
      <c r="B29" s="46">
        <f>SUMIF(Table_1[[#All],[ID client]],Tableau2[[#This Row],[Clients]],Table_1[[#All],[Montant]])</f>
        <v>701.03</v>
      </c>
      <c r="C29" s="47">
        <f>SUMIFS(Table_1[[#All],[Montant]],Table_1[[#All],[ID client]],Tableau2[[#This Row],[Clients]],Table_1[[#All],[Categorie]],"nourriture")</f>
        <v>531.19000000000005</v>
      </c>
      <c r="D29" s="47">
        <f>SUMIFS(Table_1[[#All],[Montant]],Table_1[[#All],[ID client]],Tableau2[[#This Row],[Clients]],Table_1[[#All],[Categorie]],"bien de conso.")</f>
        <v>169.84</v>
      </c>
    </row>
    <row r="30" spans="1:4" hidden="1" x14ac:dyDescent="0.35">
      <c r="A30">
        <v>3</v>
      </c>
      <c r="B30" s="46">
        <f>SUMIF(Table_1[[#All],[ID client]],Tableau2[[#This Row],[Clients]],Table_1[[#All],[Montant]])</f>
        <v>635.75000000000011</v>
      </c>
      <c r="C30" s="47">
        <f>SUMIFS(Table_1[[#All],[Montant]],Table_1[[#All],[ID client]],Tableau2[[#This Row],[Clients]],Table_1[[#All],[Categorie]],"nourriture")</f>
        <v>275.13</v>
      </c>
      <c r="D30" s="47">
        <f>SUMIFS(Table_1[[#All],[Montant]],Table_1[[#All],[ID client]],Tableau2[[#This Row],[Clients]],Table_1[[#All],[Categorie]],"bien de conso.")</f>
        <v>360.62</v>
      </c>
    </row>
    <row r="31" spans="1:4" hidden="1" x14ac:dyDescent="0.35">
      <c r="A31">
        <v>42</v>
      </c>
      <c r="B31" s="46">
        <f>SUMIF(Table_1[[#All],[ID client]],Tableau2[[#This Row],[Clients]],Table_1[[#All],[Montant]])</f>
        <v>622.52</v>
      </c>
      <c r="C31" s="47">
        <f>SUMIFS(Table_1[[#All],[Montant]],Table_1[[#All],[ID client]],Tableau2[[#This Row],[Clients]],Table_1[[#All],[Categorie]],"nourriture")</f>
        <v>411.21000000000004</v>
      </c>
      <c r="D31" s="47">
        <f>SUMIFS(Table_1[[#All],[Montant]],Table_1[[#All],[ID client]],Tableau2[[#This Row],[Clients]],Table_1[[#All],[Categorie]],"bien de conso.")</f>
        <v>211.31</v>
      </c>
    </row>
    <row r="32" spans="1:4" hidden="1" x14ac:dyDescent="0.35">
      <c r="A32">
        <v>13</v>
      </c>
      <c r="B32" s="46">
        <f>SUMIF(Table_1[[#All],[ID client]],Tableau2[[#This Row],[Clients]],Table_1[[#All],[Montant]])</f>
        <v>596.4</v>
      </c>
      <c r="C32" s="47">
        <f>SUMIFS(Table_1[[#All],[Montant]],Table_1[[#All],[ID client]],Tableau2[[#This Row],[Clients]],Table_1[[#All],[Categorie]],"nourriture")</f>
        <v>311.83</v>
      </c>
      <c r="D32" s="47">
        <f>SUMIFS(Table_1[[#All],[Montant]],Table_1[[#All],[ID client]],Tableau2[[#This Row],[Clients]],Table_1[[#All],[Categorie]],"bien de conso.")</f>
        <v>284.57</v>
      </c>
    </row>
    <row r="33" spans="1:4" hidden="1" x14ac:dyDescent="0.35">
      <c r="A33">
        <v>6</v>
      </c>
      <c r="B33" s="46">
        <f>SUMIF(Table_1[[#All],[ID client]],Tableau2[[#This Row],[Clients]],Table_1[[#All],[Montant]])</f>
        <v>586.77</v>
      </c>
      <c r="C33" s="47">
        <f>SUMIFS(Table_1[[#All],[Montant]],Table_1[[#All],[ID client]],Tableau2[[#This Row],[Clients]],Table_1[[#All],[Categorie]],"nourriture")</f>
        <v>248.14</v>
      </c>
      <c r="D33" s="47">
        <f>SUMIFS(Table_1[[#All],[Montant]],Table_1[[#All],[ID client]],Tableau2[[#This Row],[Clients]],Table_1[[#All],[Categorie]],"bien de conso.")</f>
        <v>338.63000000000005</v>
      </c>
    </row>
    <row r="34" spans="1:4" hidden="1" x14ac:dyDescent="0.35">
      <c r="A34">
        <v>21</v>
      </c>
      <c r="B34" s="46">
        <f>SUMIF(Table_1[[#All],[ID client]],Tableau2[[#This Row],[Clients]],Table_1[[#All],[Montant]])</f>
        <v>573.63</v>
      </c>
      <c r="C34" s="47">
        <f>SUMIFS(Table_1[[#All],[Montant]],Table_1[[#All],[ID client]],Tableau2[[#This Row],[Clients]],Table_1[[#All],[Categorie]],"nourriture")</f>
        <v>573.63</v>
      </c>
      <c r="D34" s="47">
        <f>SUMIFS(Table_1[[#All],[Montant]],Table_1[[#All],[ID client]],Tableau2[[#This Row],[Clients]],Table_1[[#All],[Categorie]],"bien de conso.")</f>
        <v>0</v>
      </c>
    </row>
    <row r="35" spans="1:4" hidden="1" x14ac:dyDescent="0.35">
      <c r="A35">
        <v>33</v>
      </c>
      <c r="B35" s="46">
        <f>SUMIF(Table_1[[#All],[ID client]],Tableau2[[#This Row],[Clients]],Table_1[[#All],[Montant]])</f>
        <v>550.4</v>
      </c>
      <c r="C35" s="47">
        <f>SUMIFS(Table_1[[#All],[Montant]],Table_1[[#All],[ID client]],Tableau2[[#This Row],[Clients]],Table_1[[#All],[Categorie]],"nourriture")</f>
        <v>304.17</v>
      </c>
      <c r="D35" s="47">
        <f>SUMIFS(Table_1[[#All],[Montant]],Table_1[[#All],[ID client]],Tableau2[[#This Row],[Clients]],Table_1[[#All],[Categorie]],"bien de conso.")</f>
        <v>246.23</v>
      </c>
    </row>
    <row r="36" spans="1:4" hidden="1" x14ac:dyDescent="0.35">
      <c r="A36">
        <v>39</v>
      </c>
      <c r="B36" s="46">
        <f>SUMIF(Table_1[[#All],[ID client]],Tableau2[[#This Row],[Clients]],Table_1[[#All],[Montant]])</f>
        <v>542.92999999999995</v>
      </c>
      <c r="C36" s="47">
        <f>SUMIFS(Table_1[[#All],[Montant]],Table_1[[#All],[ID client]],Tableau2[[#This Row],[Clients]],Table_1[[#All],[Categorie]],"nourriture")</f>
        <v>311.79000000000002</v>
      </c>
      <c r="D36" s="47">
        <f>SUMIFS(Table_1[[#All],[Montant]],Table_1[[#All],[ID client]],Tableau2[[#This Row],[Clients]],Table_1[[#All],[Categorie]],"bien de conso.")</f>
        <v>231.14</v>
      </c>
    </row>
    <row r="37" spans="1:4" hidden="1" x14ac:dyDescent="0.35">
      <c r="A37">
        <v>46</v>
      </c>
      <c r="B37" s="46">
        <f>SUMIF(Table_1[[#All],[ID client]],Tableau2[[#This Row],[Clients]],Table_1[[#All],[Montant]])</f>
        <v>528.67999999999995</v>
      </c>
      <c r="C37" s="47">
        <f>SUMIFS(Table_1[[#All],[Montant]],Table_1[[#All],[ID client]],Tableau2[[#This Row],[Clients]],Table_1[[#All],[Categorie]],"nourriture")</f>
        <v>386.59999999999997</v>
      </c>
      <c r="D37" s="47">
        <f>SUMIFS(Table_1[[#All],[Montant]],Table_1[[#All],[ID client]],Tableau2[[#This Row],[Clients]],Table_1[[#All],[Categorie]],"bien de conso.")</f>
        <v>142.07999999999998</v>
      </c>
    </row>
    <row r="38" spans="1:4" hidden="1" x14ac:dyDescent="0.35">
      <c r="A38">
        <v>40</v>
      </c>
      <c r="B38" s="46">
        <f>SUMIF(Table_1[[#All],[ID client]],Tableau2[[#This Row],[Clients]],Table_1[[#All],[Montant]])</f>
        <v>522.04999999999995</v>
      </c>
      <c r="C38" s="47">
        <f>SUMIFS(Table_1[[#All],[Montant]],Table_1[[#All],[ID client]],Tableau2[[#This Row],[Clients]],Table_1[[#All],[Categorie]],"nourriture")</f>
        <v>433.92</v>
      </c>
      <c r="D38" s="47">
        <f>SUMIFS(Table_1[[#All],[Montant]],Table_1[[#All],[ID client]],Tableau2[[#This Row],[Clients]],Table_1[[#All],[Categorie]],"bien de conso.")</f>
        <v>88.13</v>
      </c>
    </row>
    <row r="39" spans="1:4" hidden="1" x14ac:dyDescent="0.35">
      <c r="A39">
        <v>51</v>
      </c>
      <c r="B39" s="46">
        <f>SUMIF(Table_1[[#All],[ID client]],Tableau2[[#This Row],[Clients]],Table_1[[#All],[Montant]])</f>
        <v>511.7</v>
      </c>
      <c r="C39" s="47">
        <f>SUMIFS(Table_1[[#All],[Montant]],Table_1[[#All],[ID client]],Tableau2[[#This Row],[Clients]],Table_1[[#All],[Categorie]],"nourriture")</f>
        <v>392.12</v>
      </c>
      <c r="D39" s="47">
        <f>SUMIFS(Table_1[[#All],[Montant]],Table_1[[#All],[ID client]],Tableau2[[#This Row],[Clients]],Table_1[[#All],[Categorie]],"bien de conso.")</f>
        <v>119.58000000000001</v>
      </c>
    </row>
    <row r="40" spans="1:4" hidden="1" x14ac:dyDescent="0.35">
      <c r="A40">
        <v>8</v>
      </c>
      <c r="B40" s="46">
        <f>SUMIF(Table_1[[#All],[ID client]],Tableau2[[#This Row],[Clients]],Table_1[[#All],[Montant]])</f>
        <v>509.91</v>
      </c>
      <c r="C40" s="47">
        <f>SUMIFS(Table_1[[#All],[Montant]],Table_1[[#All],[ID client]],Tableau2[[#This Row],[Clients]],Table_1[[#All],[Categorie]],"nourriture")</f>
        <v>373.76000000000005</v>
      </c>
      <c r="D40" s="47">
        <f>SUMIFS(Table_1[[#All],[Montant]],Table_1[[#All],[ID client]],Tableau2[[#This Row],[Clients]],Table_1[[#All],[Categorie]],"bien de conso.")</f>
        <v>136.15</v>
      </c>
    </row>
    <row r="41" spans="1:4" hidden="1" x14ac:dyDescent="0.35">
      <c r="A41">
        <v>48</v>
      </c>
      <c r="B41" s="46">
        <f>SUMIF(Table_1[[#All],[ID client]],Tableau2[[#This Row],[Clients]],Table_1[[#All],[Montant]])</f>
        <v>494.98999999999995</v>
      </c>
      <c r="C41" s="47">
        <f>SUMIFS(Table_1[[#All],[Montant]],Table_1[[#All],[ID client]],Tableau2[[#This Row],[Clients]],Table_1[[#All],[Categorie]],"nourriture")</f>
        <v>352.4</v>
      </c>
      <c r="D41" s="47">
        <f>SUMIFS(Table_1[[#All],[Montant]],Table_1[[#All],[ID client]],Tableau2[[#This Row],[Clients]],Table_1[[#All],[Categorie]],"bien de conso.")</f>
        <v>142.58999999999997</v>
      </c>
    </row>
    <row r="42" spans="1:4" hidden="1" x14ac:dyDescent="0.35">
      <c r="A42">
        <v>43</v>
      </c>
      <c r="B42" s="46">
        <f>SUMIF(Table_1[[#All],[ID client]],Tableau2[[#This Row],[Clients]],Table_1[[#All],[Montant]])</f>
        <v>489.47</v>
      </c>
      <c r="C42" s="47">
        <f>SUMIFS(Table_1[[#All],[Montant]],Table_1[[#All],[ID client]],Tableau2[[#This Row],[Clients]],Table_1[[#All],[Categorie]],"nourriture")</f>
        <v>229.98</v>
      </c>
      <c r="D42" s="47">
        <f>SUMIFS(Table_1[[#All],[Montant]],Table_1[[#All],[ID client]],Tableau2[[#This Row],[Clients]],Table_1[[#All],[Categorie]],"bien de conso.")</f>
        <v>259.49</v>
      </c>
    </row>
    <row r="43" spans="1:4" hidden="1" x14ac:dyDescent="0.35">
      <c r="A43">
        <v>44</v>
      </c>
      <c r="B43" s="46">
        <f>SUMIF(Table_1[[#All],[ID client]],Tableau2[[#This Row],[Clients]],Table_1[[#All],[Montant]])</f>
        <v>467.15000000000003</v>
      </c>
      <c r="C43" s="47">
        <f>SUMIFS(Table_1[[#All],[Montant]],Table_1[[#All],[ID client]],Tableau2[[#This Row],[Clients]],Table_1[[#All],[Categorie]],"nourriture")</f>
        <v>293.58000000000004</v>
      </c>
      <c r="D43" s="47">
        <f>SUMIFS(Table_1[[#All],[Montant]],Table_1[[#All],[ID client]],Tableau2[[#This Row],[Clients]],Table_1[[#All],[Categorie]],"bien de conso.")</f>
        <v>173.57</v>
      </c>
    </row>
    <row r="44" spans="1:4" hidden="1" x14ac:dyDescent="0.35">
      <c r="A44">
        <v>37</v>
      </c>
      <c r="B44" s="46">
        <f>SUMIF(Table_1[[#All],[ID client]],Tableau2[[#This Row],[Clients]],Table_1[[#All],[Montant]])</f>
        <v>451.57000000000005</v>
      </c>
      <c r="C44" s="47">
        <f>SUMIFS(Table_1[[#All],[Montant]],Table_1[[#All],[ID client]],Tableau2[[#This Row],[Clients]],Table_1[[#All],[Categorie]],"nourriture")</f>
        <v>338.86</v>
      </c>
      <c r="D44" s="47">
        <f>SUMIFS(Table_1[[#All],[Montant]],Table_1[[#All],[ID client]],Tableau2[[#This Row],[Clients]],Table_1[[#All],[Categorie]],"bien de conso.")</f>
        <v>112.71000000000001</v>
      </c>
    </row>
    <row r="45" spans="1:4" hidden="1" x14ac:dyDescent="0.35">
      <c r="A45">
        <v>12</v>
      </c>
      <c r="B45" s="46">
        <f>SUMIF(Table_1[[#All],[ID client]],Tableau2[[#This Row],[Clients]],Table_1[[#All],[Montant]])</f>
        <v>443.68</v>
      </c>
      <c r="C45" s="47">
        <f>SUMIFS(Table_1[[#All],[Montant]],Table_1[[#All],[ID client]],Tableau2[[#This Row],[Clients]],Table_1[[#All],[Categorie]],"nourriture")</f>
        <v>260.83</v>
      </c>
      <c r="D45" s="47">
        <f>SUMIFS(Table_1[[#All],[Montant]],Table_1[[#All],[ID client]],Tableau2[[#This Row],[Clients]],Table_1[[#All],[Categorie]],"bien de conso.")</f>
        <v>182.85000000000002</v>
      </c>
    </row>
    <row r="46" spans="1:4" hidden="1" x14ac:dyDescent="0.35">
      <c r="A46">
        <v>1</v>
      </c>
      <c r="B46" s="46">
        <f>SUMIF(Table_1[[#All],[ID client]],Tableau2[[#This Row],[Clients]],Table_1[[#All],[Montant]])</f>
        <v>434.82</v>
      </c>
      <c r="C46" s="47">
        <f>SUMIFS(Table_1[[#All],[Montant]],Table_1[[#All],[ID client]],Tableau2[[#This Row],[Clients]],Table_1[[#All],[Categorie]],"nourriture")</f>
        <v>233.41</v>
      </c>
      <c r="D46" s="47">
        <f>SUMIFS(Table_1[[#All],[Montant]],Table_1[[#All],[ID client]],Tableau2[[#This Row],[Clients]],Table_1[[#All],[Categorie]],"bien de conso.")</f>
        <v>201.40999999999997</v>
      </c>
    </row>
    <row r="47" spans="1:4" hidden="1" x14ac:dyDescent="0.35">
      <c r="A47">
        <v>4</v>
      </c>
      <c r="B47" s="46">
        <f>SUMIF(Table_1[[#All],[ID client]],Tableau2[[#This Row],[Clients]],Table_1[[#All],[Montant]])</f>
        <v>411.65999999999997</v>
      </c>
      <c r="C47" s="47">
        <f>SUMIFS(Table_1[[#All],[Montant]],Table_1[[#All],[ID client]],Tableau2[[#This Row],[Clients]],Table_1[[#All],[Categorie]],"nourriture")</f>
        <v>272.82</v>
      </c>
      <c r="D47" s="47">
        <f>SUMIFS(Table_1[[#All],[Montant]],Table_1[[#All],[ID client]],Tableau2[[#This Row],[Clients]],Table_1[[#All],[Categorie]],"bien de conso.")</f>
        <v>138.84</v>
      </c>
    </row>
    <row r="48" spans="1:4" hidden="1" x14ac:dyDescent="0.35">
      <c r="A48">
        <v>47</v>
      </c>
      <c r="B48" s="46">
        <f>SUMIF(Table_1[[#All],[ID client]],Tableau2[[#This Row],[Clients]],Table_1[[#All],[Montant]])</f>
        <v>379.71999999999997</v>
      </c>
      <c r="C48" s="47">
        <f>SUMIFS(Table_1[[#All],[Montant]],Table_1[[#All],[ID client]],Tableau2[[#This Row],[Clients]],Table_1[[#All],[Categorie]],"nourriture")</f>
        <v>95</v>
      </c>
      <c r="D48" s="47">
        <f>SUMIFS(Table_1[[#All],[Montant]],Table_1[[#All],[ID client]],Tableau2[[#This Row],[Clients]],Table_1[[#All],[Categorie]],"bien de conso.")</f>
        <v>284.71999999999997</v>
      </c>
    </row>
    <row r="49" spans="1:4" hidden="1" x14ac:dyDescent="0.35">
      <c r="A49">
        <v>49</v>
      </c>
      <c r="B49" s="46">
        <f>SUMIF(Table_1[[#All],[ID client]],Tableau2[[#This Row],[Clients]],Table_1[[#All],[Montant]])</f>
        <v>266.63</v>
      </c>
      <c r="C49" s="47">
        <f>SUMIFS(Table_1[[#All],[Montant]],Table_1[[#All],[ID client]],Tableau2[[#This Row],[Clients]],Table_1[[#All],[Categorie]],"nourriture")</f>
        <v>207.24</v>
      </c>
      <c r="D49" s="47">
        <f>SUMIFS(Table_1[[#All],[Montant]],Table_1[[#All],[ID client]],Tableau2[[#This Row],[Clients]],Table_1[[#All],[Categorie]],"bien de conso.")</f>
        <v>59.39</v>
      </c>
    </row>
    <row r="50" spans="1:4" hidden="1" x14ac:dyDescent="0.35">
      <c r="A50">
        <v>50</v>
      </c>
      <c r="B50" s="46">
        <f>SUMIF(Table_1[[#All],[ID client]],Tableau2[[#This Row],[Clients]],Table_1[[#All],[Montant]])</f>
        <v>254.44</v>
      </c>
      <c r="C50" s="47">
        <f>SUMIFS(Table_1[[#All],[Montant]],Table_1[[#All],[ID client]],Tableau2[[#This Row],[Clients]],Table_1[[#All],[Categorie]],"nourriture")</f>
        <v>254.44</v>
      </c>
      <c r="D50" s="47">
        <f>SUMIFS(Table_1[[#All],[Montant]],Table_1[[#All],[ID client]],Tableau2[[#This Row],[Clients]],Table_1[[#All],[Categorie]],"bien de conso.")</f>
        <v>0</v>
      </c>
    </row>
    <row r="51" spans="1:4" hidden="1" x14ac:dyDescent="0.35">
      <c r="A51">
        <v>45</v>
      </c>
      <c r="B51" s="46">
        <f>SUMIF(Table_1[[#All],[ID client]],Tableau2[[#This Row],[Clients]],Table_1[[#All],[Montant]])</f>
        <v>250.87</v>
      </c>
      <c r="C51" s="47">
        <f>SUMIFS(Table_1[[#All],[Montant]],Table_1[[#All],[ID client]],Tableau2[[#This Row],[Clients]],Table_1[[#All],[Categorie]],"nourriture")</f>
        <v>132.71</v>
      </c>
      <c r="D51" s="47">
        <f>SUMIFS(Table_1[[#All],[Montant]],Table_1[[#All],[ID client]],Tableau2[[#This Row],[Clients]],Table_1[[#All],[Categorie]],"bien de conso.")</f>
        <v>118.16</v>
      </c>
    </row>
    <row r="52" spans="1:4" hidden="1" x14ac:dyDescent="0.35">
      <c r="A52">
        <v>11</v>
      </c>
      <c r="B52" s="46">
        <f>SUMIF(Table_1[[#All],[ID client]],Tableau2[[#This Row],[Clients]],Table_1[[#All],[Montant]])</f>
        <v>250.6</v>
      </c>
      <c r="C52" s="47">
        <f>SUMIFS(Table_1[[#All],[Montant]],Table_1[[#All],[ID client]],Tableau2[[#This Row],[Clients]],Table_1[[#All],[Categorie]],"nourriture")</f>
        <v>99.86</v>
      </c>
      <c r="D52" s="47">
        <f>SUMIFS(Table_1[[#All],[Montant]],Table_1[[#All],[ID client]],Tableau2[[#This Row],[Clients]],Table_1[[#All],[Categorie]],"bien de conso.")</f>
        <v>150.74</v>
      </c>
    </row>
    <row r="53" spans="1:4" hidden="1" x14ac:dyDescent="0.35">
      <c r="A53">
        <v>57</v>
      </c>
      <c r="B53" s="46">
        <f>SUMIF(Table_1[[#All],[ID client]],Tableau2[[#This Row],[Clients]],Table_1[[#All],[Montant]])</f>
        <v>196.31</v>
      </c>
      <c r="C53" s="47">
        <f>SUMIFS(Table_1[[#All],[Montant]],Table_1[[#All],[ID client]],Tableau2[[#This Row],[Clients]],Table_1[[#All],[Categorie]],"nourriture")</f>
        <v>196.31</v>
      </c>
      <c r="D53" s="47">
        <f>SUMIFS(Table_1[[#All],[Montant]],Table_1[[#All],[ID client]],Tableau2[[#This Row],[Clients]],Table_1[[#All],[Categorie]],"bien de conso.")</f>
        <v>0</v>
      </c>
    </row>
    <row r="54" spans="1:4" hidden="1" x14ac:dyDescent="0.35">
      <c r="A54">
        <v>53</v>
      </c>
      <c r="B54" s="46">
        <f>SUMIF(Table_1[[#All],[ID client]],Tableau2[[#This Row],[Clients]],Table_1[[#All],[Montant]])</f>
        <v>170.57</v>
      </c>
      <c r="C54" s="47">
        <f>SUMIFS(Table_1[[#All],[Montant]],Table_1[[#All],[ID client]],Tableau2[[#This Row],[Clients]],Table_1[[#All],[Categorie]],"nourriture")</f>
        <v>99.96</v>
      </c>
      <c r="D54" s="47">
        <f>SUMIFS(Table_1[[#All],[Montant]],Table_1[[#All],[ID client]],Tableau2[[#This Row],[Clients]],Table_1[[#All],[Categorie]],"bien de conso.")</f>
        <v>70.61</v>
      </c>
    </row>
    <row r="55" spans="1:4" hidden="1" x14ac:dyDescent="0.35">
      <c r="A55">
        <v>52</v>
      </c>
      <c r="B55" s="46">
        <f>SUMIF(Table_1[[#All],[ID client]],Tableau2[[#This Row],[Clients]],Table_1[[#All],[Montant]])</f>
        <v>168.38</v>
      </c>
      <c r="C55" s="47">
        <f>SUMIFS(Table_1[[#All],[Montant]],Table_1[[#All],[ID client]],Tableau2[[#This Row],[Clients]],Table_1[[#All],[Categorie]],"nourriture")</f>
        <v>112.91999999999999</v>
      </c>
      <c r="D55" s="47">
        <f>SUMIFS(Table_1[[#All],[Montant]],Table_1[[#All],[ID client]],Tableau2[[#This Row],[Clients]],Table_1[[#All],[Categorie]],"bien de conso.")</f>
        <v>55.46</v>
      </c>
    </row>
    <row r="56" spans="1:4" hidden="1" x14ac:dyDescent="0.35">
      <c r="A56">
        <v>54</v>
      </c>
      <c r="B56" s="46">
        <f>SUMIF(Table_1[[#All],[ID client]],Tableau2[[#This Row],[Clients]],Table_1[[#All],[Montant]])</f>
        <v>152.97999999999999</v>
      </c>
      <c r="C56" s="47">
        <f>SUMIFS(Table_1[[#All],[Montant]],Table_1[[#All],[ID client]],Tableau2[[#This Row],[Clients]],Table_1[[#All],[Categorie]],"nourriture")</f>
        <v>67.069999999999993</v>
      </c>
      <c r="D56" s="47">
        <f>SUMIFS(Table_1[[#All],[Montant]],Table_1[[#All],[ID client]],Tableau2[[#This Row],[Clients]],Table_1[[#All],[Categorie]],"bien de conso.")</f>
        <v>85.91</v>
      </c>
    </row>
    <row r="57" spans="1:4" hidden="1" x14ac:dyDescent="0.35">
      <c r="A57">
        <v>67</v>
      </c>
      <c r="B57" s="46">
        <f>SUMIF(Table_1[[#All],[ID client]],Tableau2[[#This Row],[Clients]],Table_1[[#All],[Montant]])</f>
        <v>108.39</v>
      </c>
      <c r="C57" s="47">
        <f>SUMIFS(Table_1[[#All],[Montant]],Table_1[[#All],[ID client]],Tableau2[[#This Row],[Clients]],Table_1[[#All],[Categorie]],"nourriture")</f>
        <v>0</v>
      </c>
      <c r="D57" s="47">
        <f>SUMIFS(Table_1[[#All],[Montant]],Table_1[[#All],[ID client]],Tableau2[[#This Row],[Clients]],Table_1[[#All],[Categorie]],"bien de conso.")</f>
        <v>108.39</v>
      </c>
    </row>
    <row r="58" spans="1:4" hidden="1" x14ac:dyDescent="0.35">
      <c r="A58">
        <v>64</v>
      </c>
      <c r="B58" s="46">
        <f>SUMIF(Table_1[[#All],[ID client]],Tableau2[[#This Row],[Clients]],Table_1[[#All],[Montant]])</f>
        <v>89.18</v>
      </c>
      <c r="C58" s="47">
        <f>SUMIFS(Table_1[[#All],[Montant]],Table_1[[#All],[ID client]],Tableau2[[#This Row],[Clients]],Table_1[[#All],[Categorie]],"nourriture")</f>
        <v>89.18</v>
      </c>
      <c r="D58" s="47">
        <f>SUMIFS(Table_1[[#All],[Montant]],Table_1[[#All],[ID client]],Tableau2[[#This Row],[Clients]],Table_1[[#All],[Categorie]],"bien de conso.")</f>
        <v>0</v>
      </c>
    </row>
    <row r="59" spans="1:4" hidden="1" x14ac:dyDescent="0.35">
      <c r="A59">
        <v>62</v>
      </c>
      <c r="B59" s="46">
        <f>SUMIF(Table_1[[#All],[ID client]],Tableau2[[#This Row],[Clients]],Table_1[[#All],[Montant]])</f>
        <v>77.400000000000006</v>
      </c>
      <c r="C59" s="47">
        <f>SUMIFS(Table_1[[#All],[Montant]],Table_1[[#All],[ID client]],Tableau2[[#This Row],[Clients]],Table_1[[#All],[Categorie]],"nourriture")</f>
        <v>0</v>
      </c>
      <c r="D59" s="47">
        <f>SUMIFS(Table_1[[#All],[Montant]],Table_1[[#All],[ID client]],Tableau2[[#This Row],[Clients]],Table_1[[#All],[Categorie]],"bien de conso.")</f>
        <v>77.400000000000006</v>
      </c>
    </row>
    <row r="60" spans="1:4" hidden="1" x14ac:dyDescent="0.35">
      <c r="A60">
        <v>55</v>
      </c>
      <c r="B60" s="46">
        <f>SUMIF(Table_1[[#All],[ID client]],Tableau2[[#This Row],[Clients]],Table_1[[#All],[Montant]])</f>
        <v>72.78</v>
      </c>
      <c r="C60" s="47">
        <f>SUMIFS(Table_1[[#All],[Montant]],Table_1[[#All],[ID client]],Tableau2[[#This Row],[Clients]],Table_1[[#All],[Categorie]],"nourriture")</f>
        <v>72.78</v>
      </c>
      <c r="D60" s="47">
        <f>SUMIFS(Table_1[[#All],[Montant]],Table_1[[#All],[ID client]],Tableau2[[#This Row],[Clients]],Table_1[[#All],[Categorie]],"bien de conso.")</f>
        <v>0</v>
      </c>
    </row>
    <row r="61" spans="1:4" hidden="1" x14ac:dyDescent="0.35">
      <c r="A61">
        <v>56</v>
      </c>
      <c r="B61" s="46">
        <f>SUMIF(Table_1[[#All],[ID client]],Tableau2[[#This Row],[Clients]],Table_1[[#All],[Montant]])</f>
        <v>67.02</v>
      </c>
      <c r="C61" s="47">
        <f>SUMIFS(Table_1[[#All],[Montant]],Table_1[[#All],[ID client]],Tableau2[[#This Row],[Clients]],Table_1[[#All],[Categorie]],"nourriture")</f>
        <v>67.02</v>
      </c>
      <c r="D61" s="47">
        <f>SUMIFS(Table_1[[#All],[Montant]],Table_1[[#All],[ID client]],Tableau2[[#This Row],[Clients]],Table_1[[#All],[Categorie]],"bien de conso.")</f>
        <v>0</v>
      </c>
    </row>
    <row r="62" spans="1:4" hidden="1" x14ac:dyDescent="0.35">
      <c r="A62">
        <v>74</v>
      </c>
      <c r="B62" s="46">
        <f>SUMIF(Table_1[[#All],[ID client]],Tableau2[[#This Row],[Clients]],Table_1[[#All],[Montant]])</f>
        <v>55.63</v>
      </c>
      <c r="C62" s="47">
        <f>SUMIFS(Table_1[[#All],[Montant]],Table_1[[#All],[ID client]],Tableau2[[#This Row],[Clients]],Table_1[[#All],[Categorie]],"nourriture")</f>
        <v>55.63</v>
      </c>
      <c r="D62" s="47">
        <f>SUMIFS(Table_1[[#All],[Montant]],Table_1[[#All],[ID client]],Tableau2[[#This Row],[Clients]],Table_1[[#All],[Categorie]],"bien de conso.")</f>
        <v>0</v>
      </c>
    </row>
    <row r="63" spans="1:4" hidden="1" x14ac:dyDescent="0.35">
      <c r="A63">
        <v>58</v>
      </c>
      <c r="B63" s="46">
        <f>SUMIF(Table_1[[#All],[ID client]],Tableau2[[#This Row],[Clients]],Table_1[[#All],[Montant]])</f>
        <v>53.2</v>
      </c>
      <c r="C63" s="47">
        <f>SUMIFS(Table_1[[#All],[Montant]],Table_1[[#All],[ID client]],Tableau2[[#This Row],[Clients]],Table_1[[#All],[Categorie]],"nourriture")</f>
        <v>0</v>
      </c>
      <c r="D63" s="47">
        <f>SUMIFS(Table_1[[#All],[Montant]],Table_1[[#All],[ID client]],Tableau2[[#This Row],[Clients]],Table_1[[#All],[Categorie]],"bien de conso.")</f>
        <v>53.2</v>
      </c>
    </row>
    <row r="64" spans="1:4" hidden="1" x14ac:dyDescent="0.35">
      <c r="A64">
        <v>60</v>
      </c>
      <c r="B64" s="46">
        <f>SUMIF(Table_1[[#All],[ID client]],Tableau2[[#This Row],[Clients]],Table_1[[#All],[Montant]])</f>
        <v>46.24</v>
      </c>
      <c r="C64" s="47">
        <f>SUMIFS(Table_1[[#All],[Montant]],Table_1[[#All],[ID client]],Tableau2[[#This Row],[Clients]],Table_1[[#All],[Categorie]],"nourriture")</f>
        <v>0</v>
      </c>
      <c r="D64" s="47">
        <f>SUMIFS(Table_1[[#All],[Montant]],Table_1[[#All],[ID client]],Tableau2[[#This Row],[Clients]],Table_1[[#All],[Categorie]],"bien de conso.")</f>
        <v>46.24</v>
      </c>
    </row>
    <row r="65" spans="1:4" hidden="1" x14ac:dyDescent="0.35">
      <c r="A65">
        <v>59</v>
      </c>
      <c r="B65" s="46">
        <f>SUMIF(Table_1[[#All],[ID client]],Tableau2[[#This Row],[Clients]],Table_1[[#All],[Montant]])</f>
        <v>42.33</v>
      </c>
      <c r="C65" s="47">
        <f>SUMIFS(Table_1[[#All],[Montant]],Table_1[[#All],[ID client]],Tableau2[[#This Row],[Clients]],Table_1[[#All],[Categorie]],"nourriture")</f>
        <v>0</v>
      </c>
      <c r="D65" s="47">
        <f>SUMIFS(Table_1[[#All],[Montant]],Table_1[[#All],[ID client]],Tableau2[[#This Row],[Clients]],Table_1[[#All],[Categorie]],"bien de conso.")</f>
        <v>42.33</v>
      </c>
    </row>
    <row r="66" spans="1:4" hidden="1" x14ac:dyDescent="0.35">
      <c r="A66">
        <v>63</v>
      </c>
      <c r="B66" s="46">
        <f>SUMIF(Table_1[[#All],[ID client]],Tableau2[[#This Row],[Clients]],Table_1[[#All],[Montant]])</f>
        <v>39.17</v>
      </c>
      <c r="C66" s="47">
        <f>SUMIFS(Table_1[[#All],[Montant]],Table_1[[#All],[ID client]],Tableau2[[#This Row],[Clients]],Table_1[[#All],[Categorie]],"nourriture")</f>
        <v>0</v>
      </c>
      <c r="D66" s="47">
        <f>SUMIFS(Table_1[[#All],[Montant]],Table_1[[#All],[ID client]],Tableau2[[#This Row],[Clients]],Table_1[[#All],[Categorie]],"bien de conso.")</f>
        <v>39.17</v>
      </c>
    </row>
    <row r="67" spans="1:4" hidden="1" x14ac:dyDescent="0.35">
      <c r="A67">
        <v>68</v>
      </c>
      <c r="B67" s="46">
        <f>SUMIF(Table_1[[#All],[ID client]],Tableau2[[#This Row],[Clients]],Table_1[[#All],[Montant]])</f>
        <v>23.31</v>
      </c>
      <c r="C67" s="47">
        <f>SUMIFS(Table_1[[#All],[Montant]],Table_1[[#All],[ID client]],Tableau2[[#This Row],[Clients]],Table_1[[#All],[Categorie]],"nourriture")</f>
        <v>23.31</v>
      </c>
      <c r="D67" s="47">
        <f>SUMIFS(Table_1[[#All],[Montant]],Table_1[[#All],[ID client]],Tableau2[[#This Row],[Clients]],Table_1[[#All],[Categorie]],"bien de conso.")</f>
        <v>0</v>
      </c>
    </row>
    <row r="68" spans="1:4" x14ac:dyDescent="0.35">
      <c r="A68" s="69" t="s">
        <v>53</v>
      </c>
      <c r="B68" s="70">
        <f>SUBTOTAL(109,Tableau2[Somme Montant])</f>
        <v>12058.949999999999</v>
      </c>
      <c r="C68" s="47">
        <f>SUBTOTAL(109,Tableau2[Somme montant par nourriture])</f>
        <v>7441.46</v>
      </c>
      <c r="D68" s="47">
        <f>SUBTOTAL(109,Tableau2[Somme montant par bien de conso.])</f>
        <v>4617.49</v>
      </c>
    </row>
  </sheetData>
  <conditionalFormatting sqref="B2:B67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3B31-E50B-4983-8265-52BFD0FAC781}">
  <dimension ref="A5:J23"/>
  <sheetViews>
    <sheetView topLeftCell="A79" zoomScale="52" workbookViewId="0">
      <selection activeCell="Q7" sqref="Q7"/>
    </sheetView>
  </sheetViews>
  <sheetFormatPr baseColWidth="10" defaultRowHeight="14.5" x14ac:dyDescent="0.35"/>
  <cols>
    <col min="1" max="1" width="16.1796875" customWidth="1"/>
    <col min="2" max="3" width="26.1796875" bestFit="1" customWidth="1"/>
    <col min="4" max="4" width="30.90625" customWidth="1"/>
    <col min="5" max="5" width="21.453125" customWidth="1"/>
    <col min="6" max="6" width="38.1796875" bestFit="1" customWidth="1"/>
    <col min="7" max="7" width="12.1796875" bestFit="1" customWidth="1"/>
    <col min="8" max="8" width="19.453125" bestFit="1" customWidth="1"/>
    <col min="9" max="9" width="33.453125" bestFit="1" customWidth="1"/>
    <col min="10" max="10" width="15.26953125" bestFit="1" customWidth="1"/>
  </cols>
  <sheetData>
    <row r="5" spans="1:10" ht="15" thickBot="1" x14ac:dyDescent="0.4">
      <c r="A5" s="55" t="s">
        <v>32</v>
      </c>
    </row>
    <row r="6" spans="1:10" ht="87" x14ac:dyDescent="0.35">
      <c r="A6" s="54" t="s">
        <v>49</v>
      </c>
      <c r="B6" s="49" t="s">
        <v>33</v>
      </c>
      <c r="C6" s="50" t="s">
        <v>34</v>
      </c>
      <c r="D6" s="50" t="s">
        <v>41</v>
      </c>
      <c r="E6" s="50" t="s">
        <v>43</v>
      </c>
      <c r="F6" s="50" t="s">
        <v>39</v>
      </c>
      <c r="G6" s="50" t="s">
        <v>42</v>
      </c>
      <c r="H6" s="50" t="s">
        <v>40</v>
      </c>
      <c r="I6" s="50" t="s">
        <v>35</v>
      </c>
      <c r="J6" s="51" t="s">
        <v>36</v>
      </c>
    </row>
    <row r="7" spans="1:10" x14ac:dyDescent="0.35">
      <c r="A7" s="52">
        <v>1</v>
      </c>
      <c r="B7" s="59"/>
      <c r="C7" s="59"/>
      <c r="D7" s="59" t="s">
        <v>37</v>
      </c>
      <c r="E7" s="59" t="s">
        <v>38</v>
      </c>
      <c r="F7" s="59"/>
      <c r="G7" s="59"/>
      <c r="H7" s="59"/>
      <c r="I7" s="59"/>
      <c r="J7" s="60"/>
    </row>
    <row r="8" spans="1:10" x14ac:dyDescent="0.35">
      <c r="A8" s="53">
        <v>2</v>
      </c>
      <c r="B8" s="59"/>
      <c r="C8" s="59"/>
      <c r="D8" s="55"/>
      <c r="E8" s="55" t="s">
        <v>38</v>
      </c>
      <c r="F8" s="59"/>
      <c r="G8" s="59" t="s">
        <v>38</v>
      </c>
      <c r="H8" s="59"/>
      <c r="I8" s="59"/>
      <c r="J8" s="60" t="s">
        <v>38</v>
      </c>
    </row>
    <row r="9" spans="1:10" x14ac:dyDescent="0.35">
      <c r="A9" s="53">
        <v>3</v>
      </c>
      <c r="B9" s="59"/>
      <c r="C9" s="59"/>
      <c r="D9" s="55"/>
      <c r="E9" s="59"/>
      <c r="F9" s="59" t="s">
        <v>37</v>
      </c>
      <c r="G9" s="59"/>
      <c r="H9" s="59"/>
      <c r="I9" s="59"/>
      <c r="J9" s="60"/>
    </row>
    <row r="10" spans="1:10" x14ac:dyDescent="0.35">
      <c r="A10" s="53">
        <v>4</v>
      </c>
      <c r="B10" s="59"/>
      <c r="C10" s="59"/>
      <c r="D10" s="59"/>
      <c r="E10" s="59"/>
      <c r="F10" s="59"/>
      <c r="G10" s="59" t="s">
        <v>38</v>
      </c>
      <c r="H10" s="59"/>
      <c r="I10" s="59" t="s">
        <v>38</v>
      </c>
      <c r="J10" s="60"/>
    </row>
    <row r="11" spans="1:10" x14ac:dyDescent="0.35">
      <c r="A11" s="53">
        <v>5</v>
      </c>
      <c r="B11" s="59"/>
      <c r="C11" s="59" t="s">
        <v>38</v>
      </c>
      <c r="D11" s="59"/>
      <c r="E11" s="59"/>
      <c r="F11" s="59"/>
      <c r="G11" s="59"/>
      <c r="H11" s="59"/>
      <c r="I11" s="59" t="s">
        <v>38</v>
      </c>
      <c r="J11" s="60"/>
    </row>
    <row r="12" spans="1:10" x14ac:dyDescent="0.35">
      <c r="A12" s="53">
        <v>6</v>
      </c>
      <c r="B12" s="59"/>
      <c r="C12" s="59"/>
      <c r="D12" s="59"/>
      <c r="E12" s="59"/>
      <c r="F12" s="59"/>
      <c r="G12" s="59"/>
      <c r="H12" s="59"/>
      <c r="I12" s="59" t="s">
        <v>38</v>
      </c>
      <c r="J12" s="60"/>
    </row>
    <row r="13" spans="1:10" x14ac:dyDescent="0.35">
      <c r="A13" s="53">
        <v>7</v>
      </c>
      <c r="B13" s="59"/>
      <c r="C13" s="59" t="s">
        <v>38</v>
      </c>
      <c r="D13" s="59"/>
      <c r="E13" s="59"/>
      <c r="F13" s="59"/>
      <c r="G13" s="59"/>
      <c r="H13" s="59"/>
      <c r="I13" s="59"/>
      <c r="J13" s="60"/>
    </row>
    <row r="14" spans="1:10" x14ac:dyDescent="0.35">
      <c r="A14" s="53">
        <v>8</v>
      </c>
      <c r="B14" s="59"/>
      <c r="C14" s="59"/>
      <c r="D14" s="59"/>
      <c r="E14" s="59"/>
      <c r="F14" s="59"/>
      <c r="G14" s="59"/>
      <c r="H14" s="59"/>
      <c r="I14" s="59"/>
      <c r="J14" s="60"/>
    </row>
    <row r="15" spans="1:10" x14ac:dyDescent="0.35">
      <c r="A15" s="53">
        <v>9</v>
      </c>
      <c r="B15" s="59"/>
      <c r="C15" s="59"/>
      <c r="D15" s="59"/>
      <c r="E15" s="59"/>
      <c r="F15" s="59"/>
      <c r="G15" s="59"/>
      <c r="H15" s="59"/>
      <c r="I15" s="59"/>
      <c r="J15" s="60"/>
    </row>
    <row r="16" spans="1:10" x14ac:dyDescent="0.35">
      <c r="A16" s="53">
        <v>10</v>
      </c>
      <c r="B16" s="59"/>
      <c r="C16" s="59"/>
      <c r="D16" s="59"/>
      <c r="E16" s="59"/>
      <c r="F16" s="59"/>
      <c r="G16" s="59"/>
      <c r="H16" s="59"/>
      <c r="I16" s="59"/>
      <c r="J16" s="60"/>
    </row>
    <row r="17" spans="1:10" x14ac:dyDescent="0.35">
      <c r="A17" s="53">
        <v>11</v>
      </c>
      <c r="B17" s="59"/>
      <c r="C17" s="59"/>
      <c r="D17" s="59" t="s">
        <v>38</v>
      </c>
      <c r="E17" s="59"/>
      <c r="F17" s="59"/>
      <c r="G17" s="59"/>
      <c r="H17" s="59"/>
      <c r="I17" s="59"/>
      <c r="J17" s="60"/>
    </row>
    <row r="18" spans="1:10" x14ac:dyDescent="0.35">
      <c r="A18" s="53">
        <v>12</v>
      </c>
      <c r="B18" s="59" t="s">
        <v>38</v>
      </c>
      <c r="C18" s="59"/>
      <c r="D18" s="59" t="s">
        <v>38</v>
      </c>
      <c r="E18" s="59"/>
      <c r="F18" s="59"/>
      <c r="G18" s="59"/>
      <c r="H18" s="59"/>
      <c r="I18" s="59"/>
      <c r="J18" s="60"/>
    </row>
    <row r="19" spans="1:10" x14ac:dyDescent="0.35">
      <c r="A19" s="53">
        <v>13</v>
      </c>
      <c r="B19" s="61" t="s">
        <v>37</v>
      </c>
      <c r="C19" s="59"/>
      <c r="D19" s="59"/>
      <c r="E19" s="59"/>
      <c r="F19" s="59"/>
      <c r="G19" s="59"/>
      <c r="H19" s="59"/>
      <c r="I19" s="59"/>
      <c r="J19" s="60"/>
    </row>
    <row r="20" spans="1:10" x14ac:dyDescent="0.35">
      <c r="A20" s="53">
        <v>14</v>
      </c>
      <c r="B20" s="59" t="s">
        <v>37</v>
      </c>
      <c r="C20" s="59"/>
      <c r="D20" s="59"/>
      <c r="E20" s="59"/>
      <c r="F20" s="59"/>
      <c r="G20" s="59"/>
      <c r="H20" s="59"/>
      <c r="I20" s="59"/>
      <c r="J20" s="60"/>
    </row>
    <row r="21" spans="1:10" x14ac:dyDescent="0.35">
      <c r="A21" s="53">
        <v>15</v>
      </c>
      <c r="B21" s="59"/>
      <c r="C21" s="59"/>
      <c r="D21" s="59"/>
      <c r="E21" s="59"/>
      <c r="F21" s="59"/>
      <c r="G21" s="59"/>
      <c r="H21" s="59" t="s">
        <v>38</v>
      </c>
      <c r="I21" s="59" t="s">
        <v>38</v>
      </c>
      <c r="J21" s="60"/>
    </row>
    <row r="22" spans="1:10" ht="15" thickBot="1" x14ac:dyDescent="0.4">
      <c r="A22" s="53">
        <v>16</v>
      </c>
      <c r="B22" s="59"/>
      <c r="C22" s="59"/>
      <c r="D22" s="59"/>
      <c r="E22" s="59"/>
      <c r="F22" s="59"/>
      <c r="G22" s="59"/>
      <c r="H22" s="59"/>
      <c r="I22" s="59" t="s">
        <v>38</v>
      </c>
      <c r="J22" s="60"/>
    </row>
    <row r="23" spans="1:10" ht="15" thickBot="1" x14ac:dyDescent="0.4">
      <c r="A23" s="56" t="s">
        <v>48</v>
      </c>
      <c r="B23" s="62">
        <v>12</v>
      </c>
      <c r="C23" s="62">
        <v>5</v>
      </c>
      <c r="D23" s="62">
        <v>3</v>
      </c>
      <c r="E23" s="62"/>
      <c r="F23" s="62">
        <v>15</v>
      </c>
      <c r="G23" s="62"/>
      <c r="H23" s="62"/>
      <c r="I23" s="62"/>
      <c r="J23" s="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Tableau de bord</vt:lpstr>
      <vt:lpstr>Tableau Client x Catégorie</vt:lpstr>
      <vt:lpstr>DATA Février (clients affiliés)</vt:lpstr>
      <vt:lpstr>Top</vt:lpstr>
      <vt:lpstr>Choix graphique</vt:lpstr>
      <vt:lpstr>Tab_top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rong CAI</cp:lastModifiedBy>
  <dcterms:created xsi:type="dcterms:W3CDTF">2021-02-27T08:31:49Z</dcterms:created>
  <dcterms:modified xsi:type="dcterms:W3CDTF">2024-08-14T14:40:58Z</dcterms:modified>
</cp:coreProperties>
</file>